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Materiais" sheetId="2" state="visible" r:id="rId2"/>
    <sheet xmlns:r="http://schemas.openxmlformats.org/officeDocument/2006/relationships" name="Estoque" sheetId="3" state="visible" r:id="rId3"/>
    <sheet xmlns:r="http://schemas.openxmlformats.org/officeDocument/2006/relationships" name="Consumo" sheetId="4" state="visible" r:id="rId4"/>
    <sheet xmlns:r="http://schemas.openxmlformats.org/officeDocument/2006/relationships" name="Qualidade" sheetId="5" state="visible" r:id="rId5"/>
    <sheet xmlns:r="http://schemas.openxmlformats.org/officeDocument/2006/relationships" name="Indicadores" sheetId="6" state="visible" r:id="rId6"/>
    <sheet xmlns:r="http://schemas.openxmlformats.org/officeDocument/2006/relationships" name="Parametros" sheetId="7" state="visible" r:id="rId7"/>
  </sheets>
  <definedNames>
    <definedName name="lstCategorias">Parametros!$A$11:$A$16</definedName>
    <definedName name="lstUnidades">Parametros!$B$11:$B$14</definedName>
    <definedName name="lstCriticidade">Parametros!$C$11:$C$13</definedName>
    <definedName name="lstCentros">Parametros!$D$11:$D$15</definedName>
    <definedName name="lstTipoMov">Parametros!$E$11:$E$12</definedName>
    <definedName name="lstMeses">Parametros!$F$11:$F$13</definedName>
    <definedName name="pMargemAtencao">Parametros!$B$5</definedName>
    <definedName name="pInicioPeriodo">Parametros!$B$6</definedName>
    <definedName name="pFimPeriodo">Parametros!$B$7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1F3A5F"/>
      <sz val="11"/>
    </font>
    <font>
      <name val="Arial"/>
      <b val="1"/>
      <color rgb="009C0006"/>
      <sz val="1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2E7D5B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3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4" fontId="6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4" fontId="6" fillId="0" borderId="0" pivotButton="0" quotePrefix="0" xfId="0"/>
    <xf numFmtId="164" fontId="6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/>
    </xf>
    <xf numFmtId="3" fontId="7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" fontId="7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6" fillId="0" borderId="1" pivotButton="0" quotePrefix="0" xfId="0"/>
    <xf numFmtId="3" fontId="6" fillId="0" borderId="1" pivotButton="0" quotePrefix="0" xfId="0"/>
    <xf numFmtId="4" fontId="6" fillId="0" borderId="1" pivotButton="0" quotePrefix="0" xfId="0"/>
    <xf numFmtId="165" fontId="6" fillId="0" borderId="1" pivotButton="0" quotePrefix="0" xfId="0"/>
    <xf numFmtId="0" fontId="4" fillId="5" borderId="1" pivotButton="0" quotePrefix="0" xfId="0"/>
    <xf numFmtId="3" fontId="4" fillId="5" borderId="1" pivotButton="0" quotePrefix="0" xfId="0"/>
    <xf numFmtId="4" fontId="4" fillId="5" borderId="1" pivotButton="0" quotePrefix="0" xfId="0"/>
    <xf numFmtId="165" fontId="4" fillId="5" borderId="1" pivotButton="0" quotePrefix="0" xfId="0"/>
    <xf numFmtId="0" fontId="3" fillId="4" borderId="1" applyAlignment="1" pivotButton="0" quotePrefix="0" xfId="0">
      <alignment horizontal="center" vertical="center" wrapText="1"/>
    </xf>
    <xf numFmtId="9" fontId="5" fillId="3" borderId="1" pivotButton="0" quotePrefix="0" xfId="0"/>
    <xf numFmtId="164" fontId="5" fillId="3" borderId="1" pivotButton="0" quotePrefix="0" xfId="0"/>
  </cellXfs>
  <cellStyles count="1">
    <cellStyle name="Normal" xfId="0" builtinId="0" hidden="0"/>
  </cellStyles>
  <dxfs count="6">
    <dxf>
      <font>
        <name val="Arial"/>
        <b val="1"/>
        <color rgb="009C0006"/>
      </font>
    </dxf>
    <dxf>
      <fill>
        <patternFill patternType="solid">
          <fgColor rgb="00F8CBCB"/>
          <bgColor rgb="00F8CBCB"/>
        </patternFill>
      </fill>
    </dxf>
    <dxf>
      <fill>
        <patternFill patternType="solid">
          <fgColor rgb="00FFE9A8"/>
          <bgColor rgb="00FFE9A8"/>
        </patternFill>
      </fill>
    </dxf>
    <dxf>
      <font>
        <name val="Arial"/>
        <b val="1"/>
        <color rgb="001E6B3A"/>
      </font>
      <fill>
        <patternFill patternType="solid">
          <fgColor rgb="00CDEBD6"/>
          <bgColor rgb="00CDEBD6"/>
        </patternFill>
      </fill>
    </dxf>
    <dxf>
      <font>
        <name val="Arial"/>
        <b val="1"/>
        <color rgb="009C0006"/>
      </font>
      <fill>
        <patternFill patternType="solid">
          <fgColor rgb="00F8CBCB"/>
          <bgColor rgb="00F8CBCB"/>
        </patternFill>
      </fill>
    </dxf>
    <dxf>
      <font>
        <name val="Arial"/>
        <b val="1"/>
        <color rgb="007F6000"/>
      </font>
      <fill>
        <patternFill patternType="solid">
          <fgColor rgb="00FFE9A8"/>
          <bgColor rgb="00FFE9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Lobo Insights</author>
  </authors>
  <commentList>
    <comment ref="K1" authorId="0" shapeId="0">
      <text>
        <t>REPOR se Estoque_Atual &lt;= Estoque_Minimo. ATENÇÃO se Atual &gt; Mínimo e Atual &lt;= Mínimo x (1 + Margem_ATENCAO). Caso contrário OK. Regra de estado ATUAL, não é previsão.</t>
      </text>
    </comment>
    <comment ref="L1" authorId="0" shapeId="0">
      <text>
        <t>Sim quando Criticidade = Alta e Status_Estoque = REPOR (Estoque_Atual &lt;= Mínimo). Definição conservadora: só REPOR, não inclui ATENÇÃO.</t>
      </text>
    </comment>
  </commentList>
</comments>
</file>

<file path=xl/comments/comment2.xml><?xml version="1.0" encoding="utf-8"?>
<comments xmlns="http://schemas.openxmlformats.org/spreadsheetml/2006/main">
  <authors>
    <author>Lobo Insights</author>
  </authors>
  <commentList>
    <comment ref="K1" authorId="0" shapeId="0">
      <text>
        <t>Quantidade x Custo_Unitario, arredondado a 2 casas (custo estimado, valor fictício).</t>
      </text>
    </comment>
    <comment ref="L1" authorId="0" shapeId="0">
      <text>
        <t>Ano-mês (aaaa-mm) da Data. Usa TEXT(...,"00") para não depender do idioma do Excel.</t>
      </text>
    </comment>
  </commentList>
</comments>
</file>

<file path=xl/tables/table1.xml><?xml version="1.0" encoding="utf-8"?>
<table xmlns="http://schemas.openxmlformats.org/spreadsheetml/2006/main" id="1" name="tbMateriais" displayName="tbMateriais" ref="A1:G21" headerRowCount="1">
  <autoFilter ref="A1:G21"/>
  <tableColumns count="7">
    <tableColumn id="1" name="Material_ID"/>
    <tableColumn id="2" name="Material"/>
    <tableColumn id="3" name="Categoria"/>
    <tableColumn id="4" name="Unidade"/>
    <tableColumn id="5" name="Custo_Unitario"/>
    <tableColumn id="6" name="Criticidade"/>
    <tableColumn id="7" name="Fornecedor"/>
  </tableColumns>
  <tableStyleInfo name="TableStyleMedium2" showRowStripes="1"/>
</table>
</file>

<file path=xl/tables/table2.xml><?xml version="1.0" encoding="utf-8"?>
<table xmlns="http://schemas.openxmlformats.org/spreadsheetml/2006/main" id="2" name="tbEstoque" displayName="tbEstoque" ref="A1:L21" headerRowCount="1">
  <autoFilter ref="A1:L21"/>
  <tableColumns count="12">
    <tableColumn id="1" name="Material_ID"/>
    <tableColumn id="2" name="Material"/>
    <tableColumn id="3" name="Categoria"/>
    <tableColumn id="4" name="Unidade"/>
    <tableColumn id="5" name="Estoque_Atual"/>
    <tableColumn id="6" name="Estoque_Minimo"/>
    <tableColumn id="7" name="Custo_Unitario"/>
    <tableColumn id="8" name="Lead_Time_Dias"/>
    <tableColumn id="9" name="Fornecedor"/>
    <tableColumn id="10" name="Criticidade"/>
    <tableColumn id="11" name="Status_Estoque"/>
    <tableColumn id="12" name="Critico_Em_Risco"/>
  </tableColumns>
  <tableStyleInfo name="TableStyleMedium2" showRowStripes="1"/>
</table>
</file>

<file path=xl/tables/table3.xml><?xml version="1.0" encoding="utf-8"?>
<table xmlns="http://schemas.openxmlformats.org/spreadsheetml/2006/main" id="3" name="tbConsumo" displayName="tbConsumo" ref="A1:L181" headerRowCount="1">
  <autoFilter ref="A1:L181"/>
  <tableColumns count="12">
    <tableColumn id="1" name="Movimento_ID"/>
    <tableColumn id="2" name="Data"/>
    <tableColumn id="3" name="Material_ID"/>
    <tableColumn id="4" name="Material"/>
    <tableColumn id="5" name="Categoria"/>
    <tableColumn id="6" name="Quantidade"/>
    <tableColumn id="7" name="Unidade"/>
    <tableColumn id="8" name="Custo_Unitario"/>
    <tableColumn id="9" name="Centro_Trabalho"/>
    <tableColumn id="10" name="Tipo_Movimentacao"/>
    <tableColumn id="11" name="Custo_Movimentado"/>
    <tableColumn id="12" name="Mes"/>
  </tableColumns>
  <tableStyleInfo name="TableStyleMedium2" showRowStripes="1"/>
</table>
</file>

<file path=xl/tables/table4.xml><?xml version="1.0" encoding="utf-8"?>
<table xmlns="http://schemas.openxmlformats.org/spreadsheetml/2006/main" id="4" name="tbQualidade" displayName="tbQualidade" ref="A9:E45" headerRowCount="1">
  <autoFilter ref="A9:E45"/>
  <tableColumns count="5">
    <tableColumn id="1" name="Teste"/>
    <tableColumn id="2" name="Regra"/>
    <tableColumn id="3" name="Resultado"/>
    <tableColumn id="4" name="Quantidade de erros"/>
    <tableColumn id="5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Lobo Insights Industrial – V0.1 Foundation (dados + Excel base)</t>
        </is>
      </c>
    </row>
    <row r="2">
      <c r="A2" s="2" t="inlineStr">
        <is>
          <t>Dados 100% sintéticos utilizados exclusivamente para estudo e portfólio.</t>
        </is>
      </c>
    </row>
    <row r="4">
      <c r="A4" s="3" t="inlineStr">
        <is>
          <t>Pergunta central</t>
        </is>
      </c>
      <c r="B4" s="4" t="inlineStr">
        <is>
          <t>O que aconteceu na operação e o que precisa de atenção? (análise do PRESENTE e do histórico; não há previsão de demanda neste projeto).</t>
        </is>
      </c>
    </row>
    <row r="5">
      <c r="A5" s="3" t="inlineStr">
        <is>
          <t>Versão / escopo</t>
        </is>
      </c>
      <c r="B5" s="4" t="inlineStr">
        <is>
          <t>V0.1 – dados sintéticos, tabelas estruturadas, verificações de qualidade e indicadores básicos. Sem dashboard (V0.2), sem IA, sem Power BI, sem n8n.</t>
        </is>
      </c>
    </row>
    <row r="6">
      <c r="A6" s="3" t="inlineStr">
        <is>
          <t>Fonte oficial dos números</t>
        </is>
      </c>
      <c r="B6" s="4" t="inlineStr">
        <is>
          <t>Os três CSVs da pasta data/. As abas Materiais, Estoque e Consumo são cópias desses CSVs (tbMateriais, tbEstoque, tbConsumo). Nenhum número é digitado à mão nas abas de resultado.</t>
        </is>
      </c>
    </row>
    <row r="7">
      <c r="A7" s="5" t="n"/>
      <c r="B7" s="4" t="n"/>
    </row>
    <row r="8">
      <c r="A8" s="6" t="inlineStr">
        <is>
          <t>Abas</t>
        </is>
      </c>
      <c r="B8" s="4" t="n"/>
    </row>
    <row r="9">
      <c r="A9" s="3" t="inlineStr">
        <is>
          <t>Materiais</t>
        </is>
      </c>
      <c r="B9" s="4" t="inlineStr">
        <is>
          <t>Catálogo fictício (20 materiais, 6 categorias). Tabela tbMateriais.</t>
        </is>
      </c>
    </row>
    <row r="10">
      <c r="A10" s="3" t="inlineStr">
        <is>
          <t>Estoque</t>
        </is>
      </c>
      <c r="B10" s="4" t="inlineStr">
        <is>
          <t>Posição de estoque fictícia (20 itens) + colunas calculadas Status_Estoque e Critico_Em_Risco. Tabela tbEstoque.</t>
        </is>
      </c>
    </row>
    <row r="11">
      <c r="A11" s="3" t="inlineStr">
        <is>
          <t>Consumo</t>
        </is>
      </c>
      <c r="B11" s="4" t="inlineStr">
        <is>
          <t>Movimentações fictícias (180), 3 meses consecutivos + colunas calculadas Custo_Movimentado e Mes. Tabela tbConsumo.</t>
        </is>
      </c>
    </row>
    <row r="12">
      <c r="A12" s="3" t="inlineStr">
        <is>
          <t>Qualidade</t>
        </is>
      </c>
      <c r="B12" s="4" t="inlineStr">
        <is>
          <t>36 verificações (Q01–Q36) em fórmulas ao vivo: teste, regra, resultado, quantidade de erros e status.</t>
        </is>
      </c>
    </row>
    <row r="13">
      <c r="A13" s="3" t="inlineStr">
        <is>
          <t>Indicadores</t>
        </is>
      </c>
      <c r="B13" s="4" t="inlineStr">
        <is>
          <t>6 KPIs, resumos por mês, categoria, centro e material, e conferências internas (cada resumo precisa fechar com o KPI).</t>
        </is>
      </c>
    </row>
    <row r="14">
      <c r="A14" s="3" t="inlineStr">
        <is>
          <t>Parametros</t>
        </is>
      </c>
      <c r="B14" s="4" t="inlineStr">
        <is>
          <t>Margem de ATENÇÃO, período de análise e listas de valores válidos (usadas pela validação de dados).</t>
        </is>
      </c>
    </row>
    <row r="15">
      <c r="A15" s="5" t="n"/>
      <c r="B15" s="4" t="n"/>
    </row>
    <row r="16">
      <c r="A16" s="3" t="inlineStr">
        <is>
          <t>Legenda de cores</t>
        </is>
      </c>
      <c r="B16" s="4" t="inlineStr">
        <is>
          <t>Cabeçalho azul-marinho = coluna importada do CSV. Cabeçalho verde = coluna calculada por fórmula. Célula amarela com texto azul = parâmetro editável (aba Parametros).</t>
        </is>
      </c>
    </row>
    <row r="17">
      <c r="A17" s="3" t="inlineStr">
        <is>
          <t>Status de estoque</t>
        </is>
      </c>
      <c r="B17" s="4" t="inlineStr">
        <is>
          <t>REPOR: Estoque_Atual &lt;= Estoque_Minimo. ATENÇÃO: Estoque_Atual &gt; Mínimo e &lt;= Mínimo x (1 + Margem_ATENCAO; padrão 25%, editável na aba Parametros). OK: acima disso. É apenas o estado ATUAL – não é previsão nem cálculo de reposição.</t>
        </is>
      </c>
    </row>
    <row r="18">
      <c r="A18" s="3" t="inlineStr">
        <is>
          <t>Critico_Em_Risco</t>
        </is>
      </c>
      <c r="B18" s="4" t="inlineStr">
        <is>
          <t>Sim quando Criticidade = Alta e Status_Estoque = REPOR.</t>
        </is>
      </c>
    </row>
    <row r="19">
      <c r="A19" s="3" t="inlineStr">
        <is>
          <t>Custo estimado</t>
        </is>
      </c>
      <c r="B19" s="4" t="inlineStr">
        <is>
          <t>Custo_Movimentado = Quantidade x Custo_Unitario (arredondado a 2 casas). Custos e moeda são fictícios.</t>
        </is>
      </c>
    </row>
    <row r="20">
      <c r="A20" s="3" t="inlineStr">
        <is>
          <t>Funções usadas</t>
        </is>
      </c>
      <c r="B20" s="4" t="inlineStr">
        <is>
          <t>SOMASES (SUMIFS), CONT.SES (COUNTIFS), SE (IF), SEERRO (IFERROR), ÍNDICE+CORRESP (INDEX+MATCH, alternativa compatível ao PROCX), SOMARPRODUTO (SUMPRODUCT), tabelas estruturadas, validação de dados e formatação condicional. O arquivo grava os nomes em inglês; o Excel exibe no idioma do seu programa.</t>
        </is>
      </c>
    </row>
    <row r="21">
      <c r="A21" s="3" t="inlineStr">
        <is>
          <t>Como validar</t>
        </is>
      </c>
      <c r="B21" s="4" t="inlineStr">
        <is>
          <t>1) Aba Qualidade: todos PASS. 2) Aba Indicadores, seção 6: todas as conferências OK. 3) Compare os KPIs com scripts/validar_dados.py e docs/TEST_REPORT.md (cálculo independente em Python a partir dos CSVs).</t>
        </is>
      </c>
    </row>
    <row r="22">
      <c r="A22" s="3" t="inlineStr">
        <is>
          <t>Não incluído na V0.1</t>
        </is>
      </c>
      <c r="B22" s="4" t="inlineStr">
        <is>
          <t>Tabelas dinâmicas (PivotTables) não foram criadas nesta versão: os resumos usam fórmulas SOMASES/CONT.SES, que são reconciliáveis com os CSVs. Painel/gráficos: V0.2.</t>
        </is>
      </c>
    </row>
    <row r="23">
      <c r="A23" s="5" t="n"/>
      <c r="B23" s="4" t="n"/>
    </row>
    <row r="24">
      <c r="A24" s="6" t="inlineStr">
        <is>
          <t>SHA-256 dos CSVs de origem</t>
        </is>
      </c>
      <c r="B24" s="4" t="n"/>
    </row>
    <row r="25">
      <c r="A25" s="3" t="inlineStr">
        <is>
          <t>consumo_ficticio.csv</t>
        </is>
      </c>
      <c r="B25" s="4" t="inlineStr">
        <is>
          <t>b5b8249731e5fcbce34b4345b4d1e576c568b33de3eba4dfca91f8bd0d94233c</t>
        </is>
      </c>
    </row>
    <row r="26">
      <c r="A26" s="3" t="inlineStr">
        <is>
          <t>estoque_ficticio.csv</t>
        </is>
      </c>
      <c r="B26" s="4" t="inlineStr">
        <is>
          <t>9f90cd52f208f9f863b2ababf7fed4735bbe893ef137efdc79f7506b3359a8d0</t>
        </is>
      </c>
    </row>
    <row r="27">
      <c r="A27" s="3" t="inlineStr">
        <is>
          <t>materiais_ficticios.csv</t>
        </is>
      </c>
      <c r="B27" s="4" t="inlineStr">
        <is>
          <t>eca98597dc740956b4db95885ec54693def431a56501ea6d055fa54c1654231b</t>
        </is>
      </c>
    </row>
    <row r="28">
      <c r="A28" s="5" t="n"/>
      <c r="B28" s="4" t="n"/>
    </row>
    <row r="29">
      <c r="A29" s="3" t="inlineStr">
        <is>
          <t>Uso</t>
        </is>
      </c>
      <c r="B29" s="4" t="inlineStr">
        <is>
          <t>Somente estudo e portfólio. Nenhum uso operacional real. Veja docs/LIMITATIONS.md.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4" customWidth="1" min="3" max="3"/>
    <col width="14" customWidth="1" min="4" max="4"/>
    <col width="17" customWidth="1" min="5" max="5"/>
    <col width="14" customWidth="1" min="6" max="6"/>
    <col width="19" customWidth="1" min="7" max="7"/>
  </cols>
  <sheetData>
    <row r="1" ht="30" customHeight="1">
      <c r="A1" s="7" t="inlineStr">
        <is>
          <t>Material_ID</t>
        </is>
      </c>
      <c r="B1" s="7" t="inlineStr">
        <is>
          <t>Material</t>
        </is>
      </c>
      <c r="C1" s="7" t="inlineStr">
        <is>
          <t>Categoria</t>
        </is>
      </c>
      <c r="D1" s="7" t="inlineStr">
        <is>
          <t>Unidade</t>
        </is>
      </c>
      <c r="E1" s="7" t="inlineStr">
        <is>
          <t>Custo_Unitario</t>
        </is>
      </c>
      <c r="F1" s="7" t="inlineStr">
        <is>
          <t>Criticidade</t>
        </is>
      </c>
      <c r="G1" s="7" t="inlineStr">
        <is>
          <t>Fornecedor</t>
        </is>
      </c>
    </row>
    <row r="2">
      <c r="A2" s="8" t="inlineStr">
        <is>
          <t>MAT001</t>
        </is>
      </c>
      <c r="B2" s="8" t="inlineStr">
        <is>
          <t>Disco de Desbaste 7 pol</t>
        </is>
      </c>
      <c r="C2" s="8" t="inlineStr">
        <is>
          <t>Abrasivos</t>
        </is>
      </c>
      <c r="D2" s="8" t="inlineStr">
        <is>
          <t>UN</t>
        </is>
      </c>
      <c r="E2" s="9" t="n">
        <v>9.800000000000001</v>
      </c>
      <c r="F2" s="8" t="inlineStr">
        <is>
          <t>Média</t>
        </is>
      </c>
      <c r="G2" s="8" t="inlineStr">
        <is>
          <t>Fornecedor Beta</t>
        </is>
      </c>
    </row>
    <row r="3">
      <c r="A3" s="8" t="inlineStr">
        <is>
          <t>MAT002</t>
        </is>
      </c>
      <c r="B3" s="8" t="inlineStr">
        <is>
          <t>Disco Flap 4,5 pol Grão 60</t>
        </is>
      </c>
      <c r="C3" s="8" t="inlineStr">
        <is>
          <t>Abrasivos</t>
        </is>
      </c>
      <c r="D3" s="8" t="inlineStr">
        <is>
          <t>UN</t>
        </is>
      </c>
      <c r="E3" s="9" t="n">
        <v>7.4</v>
      </c>
      <c r="F3" s="8" t="inlineStr">
        <is>
          <t>Baixa</t>
        </is>
      </c>
      <c r="G3" s="8" t="inlineStr">
        <is>
          <t>Fornecedor Beta</t>
        </is>
      </c>
    </row>
    <row r="4">
      <c r="A4" s="8" t="inlineStr">
        <is>
          <t>MAT003</t>
        </is>
      </c>
      <c r="B4" s="8" t="inlineStr">
        <is>
          <t>Lixa de Ferro Grão 80</t>
        </is>
      </c>
      <c r="C4" s="8" t="inlineStr">
        <is>
          <t>Abrasivos</t>
        </is>
      </c>
      <c r="D4" s="8" t="inlineStr">
        <is>
          <t>PCT</t>
        </is>
      </c>
      <c r="E4" s="9" t="n">
        <v>38</v>
      </c>
      <c r="F4" s="8" t="inlineStr">
        <is>
          <t>Baixa</t>
        </is>
      </c>
      <c r="G4" s="8" t="inlineStr">
        <is>
          <t>Fornecedor Gama</t>
        </is>
      </c>
    </row>
    <row r="5">
      <c r="A5" s="8" t="inlineStr">
        <is>
          <t>MAT004</t>
        </is>
      </c>
      <c r="B5" s="8" t="inlineStr">
        <is>
          <t>Bico de Contato MIG 1,0 mm</t>
        </is>
      </c>
      <c r="C5" s="8" t="inlineStr">
        <is>
          <t>Soldagem</t>
        </is>
      </c>
      <c r="D5" s="8" t="inlineStr">
        <is>
          <t>PCT</t>
        </is>
      </c>
      <c r="E5" s="9" t="n">
        <v>45</v>
      </c>
      <c r="F5" s="8" t="inlineStr">
        <is>
          <t>Média</t>
        </is>
      </c>
      <c r="G5" s="8" t="inlineStr">
        <is>
          <t>Fornecedor Delta</t>
        </is>
      </c>
    </row>
    <row r="6">
      <c r="A6" s="8" t="inlineStr">
        <is>
          <t>MAT005</t>
        </is>
      </c>
      <c r="B6" s="8" t="inlineStr">
        <is>
          <t>Eletrodo Revestido 2,5 mm</t>
        </is>
      </c>
      <c r="C6" s="8" t="inlineStr">
        <is>
          <t>Soldagem</t>
        </is>
      </c>
      <c r="D6" s="8" t="inlineStr">
        <is>
          <t>CX</t>
        </is>
      </c>
      <c r="E6" s="9" t="n">
        <v>96</v>
      </c>
      <c r="F6" s="8" t="inlineStr">
        <is>
          <t>Alta</t>
        </is>
      </c>
      <c r="G6" s="8" t="inlineStr">
        <is>
          <t>Fornecedor Alfa</t>
        </is>
      </c>
    </row>
    <row r="7">
      <c r="A7" s="8" t="inlineStr">
        <is>
          <t>MAT006</t>
        </is>
      </c>
      <c r="B7" s="8" t="inlineStr">
        <is>
          <t>Arame MIG 1,0 mm Bobina</t>
        </is>
      </c>
      <c r="C7" s="8" t="inlineStr">
        <is>
          <t>Soldagem</t>
        </is>
      </c>
      <c r="D7" s="8" t="inlineStr">
        <is>
          <t>UN</t>
        </is>
      </c>
      <c r="E7" s="9" t="n">
        <v>210</v>
      </c>
      <c r="F7" s="8" t="inlineStr">
        <is>
          <t>Alta</t>
        </is>
      </c>
      <c r="G7" s="8" t="inlineStr">
        <is>
          <t>Fornecedor Delta</t>
        </is>
      </c>
    </row>
    <row r="8">
      <c r="A8" s="8" t="inlineStr">
        <is>
          <t>MAT007</t>
        </is>
      </c>
      <c r="B8" s="8" t="inlineStr">
        <is>
          <t>Disco de Corte 7 pol</t>
        </is>
      </c>
      <c r="C8" s="8" t="inlineStr">
        <is>
          <t>Corte</t>
        </is>
      </c>
      <c r="D8" s="8" t="inlineStr">
        <is>
          <t>UN</t>
        </is>
      </c>
      <c r="E8" s="9" t="n">
        <v>12.5</v>
      </c>
      <c r="F8" s="8" t="inlineStr">
        <is>
          <t>Alta</t>
        </is>
      </c>
      <c r="G8" s="8" t="inlineStr">
        <is>
          <t>Fornecedor Alfa</t>
        </is>
      </c>
    </row>
    <row r="9">
      <c r="A9" s="8" t="inlineStr">
        <is>
          <t>MAT008</t>
        </is>
      </c>
      <c r="B9" s="8" t="inlineStr">
        <is>
          <t>Disco de Corte 4,5 pol</t>
        </is>
      </c>
      <c r="C9" s="8" t="inlineStr">
        <is>
          <t>Corte</t>
        </is>
      </c>
      <c r="D9" s="8" t="inlineStr">
        <is>
          <t>UN</t>
        </is>
      </c>
      <c r="E9" s="9" t="n">
        <v>5.9</v>
      </c>
      <c r="F9" s="8" t="inlineStr">
        <is>
          <t>Média</t>
        </is>
      </c>
      <c r="G9" s="8" t="inlineStr">
        <is>
          <t>Fornecedor Alfa</t>
        </is>
      </c>
    </row>
    <row r="10">
      <c r="A10" s="8" t="inlineStr">
        <is>
          <t>MAT009</t>
        </is>
      </c>
      <c r="B10" s="8" t="inlineStr">
        <is>
          <t>Serra Copo 51 mm</t>
        </is>
      </c>
      <c r="C10" s="8" t="inlineStr">
        <is>
          <t>Corte</t>
        </is>
      </c>
      <c r="D10" s="8" t="inlineStr">
        <is>
          <t>UN</t>
        </is>
      </c>
      <c r="E10" s="9" t="n">
        <v>46</v>
      </c>
      <c r="F10" s="8" t="inlineStr">
        <is>
          <t>Baixa</t>
        </is>
      </c>
      <c r="G10" s="8" t="inlineStr">
        <is>
          <t>Fornecedor Sigma</t>
        </is>
      </c>
    </row>
    <row r="11">
      <c r="A11" s="8" t="inlineStr">
        <is>
          <t>MAT010</t>
        </is>
      </c>
      <c r="B11" s="8" t="inlineStr">
        <is>
          <t>Lâmina de Serra Sabre</t>
        </is>
      </c>
      <c r="C11" s="8" t="inlineStr">
        <is>
          <t>Corte</t>
        </is>
      </c>
      <c r="D11" s="8" t="inlineStr">
        <is>
          <t>PCT</t>
        </is>
      </c>
      <c r="E11" s="9" t="n">
        <v>62</v>
      </c>
      <c r="F11" s="8" t="inlineStr">
        <is>
          <t>Média</t>
        </is>
      </c>
      <c r="G11" s="8" t="inlineStr">
        <is>
          <t>Fornecedor Sigma</t>
        </is>
      </c>
    </row>
    <row r="12">
      <c r="A12" s="8" t="inlineStr">
        <is>
          <t>MAT011</t>
        </is>
      </c>
      <c r="B12" s="8" t="inlineStr">
        <is>
          <t>Cabo Flexível 2,5 mm² Rolo</t>
        </is>
      </c>
      <c r="C12" s="8" t="inlineStr">
        <is>
          <t>Elétrica</t>
        </is>
      </c>
      <c r="D12" s="8" t="inlineStr">
        <is>
          <t>UN</t>
        </is>
      </c>
      <c r="E12" s="9" t="n">
        <v>285</v>
      </c>
      <c r="F12" s="8" t="inlineStr">
        <is>
          <t>Média</t>
        </is>
      </c>
      <c r="G12" s="8" t="inlineStr">
        <is>
          <t>Fornecedor Beta</t>
        </is>
      </c>
    </row>
    <row r="13">
      <c r="A13" s="8" t="inlineStr">
        <is>
          <t>MAT012</t>
        </is>
      </c>
      <c r="B13" s="8" t="inlineStr">
        <is>
          <t>Fita Isolante 19 mm</t>
        </is>
      </c>
      <c r="C13" s="8" t="inlineStr">
        <is>
          <t>Elétrica</t>
        </is>
      </c>
      <c r="D13" s="8" t="inlineStr">
        <is>
          <t>PCT</t>
        </is>
      </c>
      <c r="E13" s="9" t="n">
        <v>42</v>
      </c>
      <c r="F13" s="8" t="inlineStr">
        <is>
          <t>Baixa</t>
        </is>
      </c>
      <c r="G13" s="8" t="inlineStr">
        <is>
          <t>Fornecedor Gama</t>
        </is>
      </c>
    </row>
    <row r="14">
      <c r="A14" s="8" t="inlineStr">
        <is>
          <t>MAT013</t>
        </is>
      </c>
      <c r="B14" s="8" t="inlineStr">
        <is>
          <t>Terminal de Compressão 6 mm²</t>
        </is>
      </c>
      <c r="C14" s="8" t="inlineStr">
        <is>
          <t>Elétrica</t>
        </is>
      </c>
      <c r="D14" s="8" t="inlineStr">
        <is>
          <t>PCT</t>
        </is>
      </c>
      <c r="E14" s="9" t="n">
        <v>28</v>
      </c>
      <c r="F14" s="8" t="inlineStr">
        <is>
          <t>Média</t>
        </is>
      </c>
      <c r="G14" s="8" t="inlineStr">
        <is>
          <t>Fornecedor Delta</t>
        </is>
      </c>
    </row>
    <row r="15">
      <c r="A15" s="8" t="inlineStr">
        <is>
          <t>MAT014</t>
        </is>
      </c>
      <c r="B15" s="8" t="inlineStr">
        <is>
          <t>Disjuntor Tripolar 32 A</t>
        </is>
      </c>
      <c r="C15" s="8" t="inlineStr">
        <is>
          <t>Elétrica</t>
        </is>
      </c>
      <c r="D15" s="8" t="inlineStr">
        <is>
          <t>UN</t>
        </is>
      </c>
      <c r="E15" s="9" t="n">
        <v>118</v>
      </c>
      <c r="F15" s="8" t="inlineStr">
        <is>
          <t>Alta</t>
        </is>
      </c>
      <c r="G15" s="8" t="inlineStr">
        <is>
          <t>Fornecedor Delta</t>
        </is>
      </c>
    </row>
    <row r="16">
      <c r="A16" s="8" t="inlineStr">
        <is>
          <t>MAT015</t>
        </is>
      </c>
      <c r="B16" s="8" t="inlineStr">
        <is>
          <t>Luva de Raspa</t>
        </is>
      </c>
      <c r="C16" s="8" t="inlineStr">
        <is>
          <t>EPI</t>
        </is>
      </c>
      <c r="D16" s="8" t="inlineStr">
        <is>
          <t>PAR</t>
        </is>
      </c>
      <c r="E16" s="9" t="n">
        <v>15</v>
      </c>
      <c r="F16" s="8" t="inlineStr">
        <is>
          <t>Média</t>
        </is>
      </c>
      <c r="G16" s="8" t="inlineStr">
        <is>
          <t>Fornecedor Sigma</t>
        </is>
      </c>
    </row>
    <row r="17">
      <c r="A17" s="8" t="inlineStr">
        <is>
          <t>MAT016</t>
        </is>
      </c>
      <c r="B17" s="8" t="inlineStr">
        <is>
          <t>Óculos de Proteção Incolor</t>
        </is>
      </c>
      <c r="C17" s="8" t="inlineStr">
        <is>
          <t>EPI</t>
        </is>
      </c>
      <c r="D17" s="8" t="inlineStr">
        <is>
          <t>UN</t>
        </is>
      </c>
      <c r="E17" s="9" t="n">
        <v>6.5</v>
      </c>
      <c r="F17" s="8" t="inlineStr">
        <is>
          <t>Média</t>
        </is>
      </c>
      <c r="G17" s="8" t="inlineStr">
        <is>
          <t>Fornecedor Sigma</t>
        </is>
      </c>
    </row>
    <row r="18">
      <c r="A18" s="8" t="inlineStr">
        <is>
          <t>MAT017</t>
        </is>
      </c>
      <c r="B18" s="8" t="inlineStr">
        <is>
          <t>Máscara Respiratória PFF2</t>
        </is>
      </c>
      <c r="C18" s="8" t="inlineStr">
        <is>
          <t>EPI</t>
        </is>
      </c>
      <c r="D18" s="8" t="inlineStr">
        <is>
          <t>CX</t>
        </is>
      </c>
      <c r="E18" s="9" t="n">
        <v>72</v>
      </c>
      <c r="F18" s="8" t="inlineStr">
        <is>
          <t>Alta</t>
        </is>
      </c>
      <c r="G18" s="8" t="inlineStr">
        <is>
          <t>Fornecedor Sigma</t>
        </is>
      </c>
    </row>
    <row r="19">
      <c r="A19" s="8" t="inlineStr">
        <is>
          <t>MAT018</t>
        </is>
      </c>
      <c r="B19" s="8" t="inlineStr">
        <is>
          <t>Chave Combinada 17 mm</t>
        </is>
      </c>
      <c r="C19" s="8" t="inlineStr">
        <is>
          <t>Ferramentas</t>
        </is>
      </c>
      <c r="D19" s="8" t="inlineStr">
        <is>
          <t>UN</t>
        </is>
      </c>
      <c r="E19" s="9" t="n">
        <v>24</v>
      </c>
      <c r="F19" s="8" t="inlineStr">
        <is>
          <t>Baixa</t>
        </is>
      </c>
      <c r="G19" s="8" t="inlineStr">
        <is>
          <t>Fornecedor Gama</t>
        </is>
      </c>
    </row>
    <row r="20">
      <c r="A20" s="8" t="inlineStr">
        <is>
          <t>MAT019</t>
        </is>
      </c>
      <c r="B20" s="8" t="inlineStr">
        <is>
          <t>Trena de Aço 5 m</t>
        </is>
      </c>
      <c r="C20" s="8" t="inlineStr">
        <is>
          <t>Ferramentas</t>
        </is>
      </c>
      <c r="D20" s="8" t="inlineStr">
        <is>
          <t>UN</t>
        </is>
      </c>
      <c r="E20" s="9" t="n">
        <v>19</v>
      </c>
      <c r="F20" s="8" t="inlineStr">
        <is>
          <t>Baixa</t>
        </is>
      </c>
      <c r="G20" s="8" t="inlineStr">
        <is>
          <t>Fornecedor Beta</t>
        </is>
      </c>
    </row>
    <row r="21">
      <c r="A21" s="8" t="inlineStr">
        <is>
          <t>MAT020</t>
        </is>
      </c>
      <c r="B21" s="8" t="inlineStr">
        <is>
          <t>Broca de Aço Rápido 10 mm</t>
        </is>
      </c>
      <c r="C21" s="8" t="inlineStr">
        <is>
          <t>Ferramentas</t>
        </is>
      </c>
      <c r="D21" s="8" t="inlineStr">
        <is>
          <t>UN</t>
        </is>
      </c>
      <c r="E21" s="9" t="n">
        <v>21</v>
      </c>
      <c r="F21" s="8" t="inlineStr">
        <is>
          <t>Média</t>
        </is>
      </c>
      <c r="G21" s="8" t="inlineStr">
        <is>
          <t>Fornecedor Alfa</t>
        </is>
      </c>
    </row>
  </sheetData>
  <conditionalFormatting sqref="F2:F21">
    <cfRule type="cellIs" priority="1" operator="equal" dxfId="0">
      <formula>"Alta"</formula>
    </cfRule>
  </conditionalFormatting>
  <dataValidations count="4">
    <dataValidation sqref="C2:C21" showDropDown="0" showInputMessage="0" showErrorMessage="1" allowBlank="0" errorTitle="Valor inválido" error="Use um valor da lista Categorias (aba Parametros)." type="list">
      <formula1>=lstCategorias</formula1>
    </dataValidation>
    <dataValidation sqref="D2:D21" showDropDown="0" showInputMessage="0" showErrorMessage="1" allowBlank="0" errorTitle="Valor inválido" error="Use um valor da lista Unidades (aba Parametros)." type="list">
      <formula1>=lstUnidades</formula1>
    </dataValidation>
    <dataValidation sqref="F2:F21" showDropDown="0" showInputMessage="0" showErrorMessage="1" allowBlank="0" errorTitle="Valor inválido" error="Use um valor da lista Criticidade (aba Parametros)." type="list">
      <formula1>=lstCriticidade</formula1>
    </dataValidation>
    <dataValidation sqref="E2:E21" showDropDown="0" showInputMessage="0" showErrorMessage="1" allowBlank="0" errorTitle="Valor inválido" error="Custo_Unitario deve ser maior que zero." type="decimal" operator="greaterThan">
      <formula1>0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4" customWidth="1" min="3" max="3"/>
    <col width="14" customWidth="1" min="4" max="4"/>
    <col width="16" customWidth="1" min="5" max="5"/>
    <col width="17" customWidth="1" min="6" max="6"/>
    <col width="17" customWidth="1" min="7" max="7"/>
    <col width="17" customWidth="1" min="8" max="8"/>
    <col width="19" customWidth="1" min="9" max="9"/>
    <col width="14" customWidth="1" min="10" max="10"/>
    <col width="17" customWidth="1" min="11" max="11"/>
    <col width="19" customWidth="1" min="12" max="12"/>
  </cols>
  <sheetData>
    <row r="1" ht="30" customHeight="1">
      <c r="A1" s="7" t="inlineStr">
        <is>
          <t>Material_ID</t>
        </is>
      </c>
      <c r="B1" s="7" t="inlineStr">
        <is>
          <t>Material</t>
        </is>
      </c>
      <c r="C1" s="7" t="inlineStr">
        <is>
          <t>Categoria</t>
        </is>
      </c>
      <c r="D1" s="7" t="inlineStr">
        <is>
          <t>Unidade</t>
        </is>
      </c>
      <c r="E1" s="7" t="inlineStr">
        <is>
          <t>Estoque_Atual</t>
        </is>
      </c>
      <c r="F1" s="7" t="inlineStr">
        <is>
          <t>Estoque_Minimo</t>
        </is>
      </c>
      <c r="G1" s="7" t="inlineStr">
        <is>
          <t>Custo_Unitario</t>
        </is>
      </c>
      <c r="H1" s="7" t="inlineStr">
        <is>
          <t>Lead_Time_Dias</t>
        </is>
      </c>
      <c r="I1" s="7" t="inlineStr">
        <is>
          <t>Fornecedor</t>
        </is>
      </c>
      <c r="J1" s="7" t="inlineStr">
        <is>
          <t>Criticidade</t>
        </is>
      </c>
      <c r="K1" s="10" t="inlineStr">
        <is>
          <t>Status_Estoque</t>
        </is>
      </c>
      <c r="L1" s="10" t="inlineStr">
        <is>
          <t>Critico_Em_Risco</t>
        </is>
      </c>
    </row>
    <row r="2">
      <c r="A2" s="8" t="inlineStr">
        <is>
          <t>MAT001</t>
        </is>
      </c>
      <c r="B2" s="8" t="inlineStr">
        <is>
          <t>Disco de Desbaste 7 pol</t>
        </is>
      </c>
      <c r="C2" s="8" t="inlineStr">
        <is>
          <t>Abrasivos</t>
        </is>
      </c>
      <c r="D2" s="8" t="inlineStr">
        <is>
          <t>UN</t>
        </is>
      </c>
      <c r="E2" s="11" t="n">
        <v>120</v>
      </c>
      <c r="F2" s="11" t="n">
        <v>40</v>
      </c>
      <c r="G2" s="12" t="n">
        <v>9.800000000000001</v>
      </c>
      <c r="H2" s="11" t="n">
        <v>7</v>
      </c>
      <c r="I2" s="8" t="inlineStr">
        <is>
          <t>Fornecedor Beta</t>
        </is>
      </c>
      <c r="J2" s="8" t="inlineStr">
        <is>
          <t>Média</t>
        </is>
      </c>
      <c r="K2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2" s="8" t="str">
        <f>IF(AND(tbEstoque[[#This Row],[Criticidade]]="Alta",tbEstoque[[#This Row],[Status_Estoque]]="REPOR"),"Sim","Não")</f>
        <v>Não</v>
      </c>
    </row>
    <row r="3">
      <c r="A3" s="8" t="inlineStr">
        <is>
          <t>MAT002</t>
        </is>
      </c>
      <c r="B3" s="8" t="inlineStr">
        <is>
          <t>Disco Flap 4,5 pol Grão 60</t>
        </is>
      </c>
      <c r="C3" s="8" t="inlineStr">
        <is>
          <t>Abrasivos</t>
        </is>
      </c>
      <c r="D3" s="8" t="inlineStr">
        <is>
          <t>UN</t>
        </is>
      </c>
      <c r="E3" s="11" t="n">
        <v>30</v>
      </c>
      <c r="F3" s="11" t="n">
        <v>30</v>
      </c>
      <c r="G3" s="12" t="n">
        <v>7.4</v>
      </c>
      <c r="H3" s="11" t="n">
        <v>7</v>
      </c>
      <c r="I3" s="8" t="inlineStr">
        <is>
          <t>Fornecedor Beta</t>
        </is>
      </c>
      <c r="J3" s="8" t="inlineStr">
        <is>
          <t>Baixa</t>
        </is>
      </c>
      <c r="K3" s="8" t="str">
        <f>IF(tbEstoque[[#This Row],[Estoque_Atual]]&lt;=tbEstoque[[#This Row],[Estoque_Minimo]],"REPOR",IF(tbEstoque[[#This Row],[Estoque_Atual]]&lt;=tbEstoque[[#This Row],[Estoque_Minimo]]*(1+pMargemAtencao),"ATENÇÃO","OK"))</f>
        <v>REPOR</v>
      </c>
      <c r="L3" s="8" t="str">
        <f>IF(AND(tbEstoque[[#This Row],[Criticidade]]="Alta",tbEstoque[[#This Row],[Status_Estoque]]="REPOR"),"Sim","Não")</f>
        <v>Não</v>
      </c>
    </row>
    <row r="4">
      <c r="A4" s="8" t="inlineStr">
        <is>
          <t>MAT003</t>
        </is>
      </c>
      <c r="B4" s="8" t="inlineStr">
        <is>
          <t>Lixa de Ferro Grão 80</t>
        </is>
      </c>
      <c r="C4" s="8" t="inlineStr">
        <is>
          <t>Abrasivos</t>
        </is>
      </c>
      <c r="D4" s="8" t="inlineStr">
        <is>
          <t>PCT</t>
        </is>
      </c>
      <c r="E4" s="11" t="n">
        <v>34</v>
      </c>
      <c r="F4" s="11" t="n">
        <v>10</v>
      </c>
      <c r="G4" s="12" t="n">
        <v>38</v>
      </c>
      <c r="H4" s="11" t="n">
        <v>10</v>
      </c>
      <c r="I4" s="8" t="inlineStr">
        <is>
          <t>Fornecedor Gama</t>
        </is>
      </c>
      <c r="J4" s="8" t="inlineStr">
        <is>
          <t>Baixa</t>
        </is>
      </c>
      <c r="K4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4" s="8" t="str">
        <f>IF(AND(tbEstoque[[#This Row],[Criticidade]]="Alta",tbEstoque[[#This Row],[Status_Estoque]]="REPOR"),"Sim","Não")</f>
        <v>Não</v>
      </c>
    </row>
    <row r="5">
      <c r="A5" s="8" t="inlineStr">
        <is>
          <t>MAT004</t>
        </is>
      </c>
      <c r="B5" s="8" t="inlineStr">
        <is>
          <t>Bico de Contato MIG 1,0 mm</t>
        </is>
      </c>
      <c r="C5" s="8" t="inlineStr">
        <is>
          <t>Soldagem</t>
        </is>
      </c>
      <c r="D5" s="8" t="inlineStr">
        <is>
          <t>PCT</t>
        </is>
      </c>
      <c r="E5" s="11" t="n">
        <v>9</v>
      </c>
      <c r="F5" s="11" t="n">
        <v>8</v>
      </c>
      <c r="G5" s="12" t="n">
        <v>45</v>
      </c>
      <c r="H5" s="11" t="n">
        <v>14</v>
      </c>
      <c r="I5" s="8" t="inlineStr">
        <is>
          <t>Fornecedor Delta</t>
        </is>
      </c>
      <c r="J5" s="8" t="inlineStr">
        <is>
          <t>Média</t>
        </is>
      </c>
      <c r="K5" s="8" t="str">
        <f>IF(tbEstoque[[#This Row],[Estoque_Atual]]&lt;=tbEstoque[[#This Row],[Estoque_Minimo]],"REPOR",IF(tbEstoque[[#This Row],[Estoque_Atual]]&lt;=tbEstoque[[#This Row],[Estoque_Minimo]]*(1+pMargemAtencao),"ATENÇÃO","OK"))</f>
        <v>ATENÇÃO</v>
      </c>
      <c r="L5" s="8" t="str">
        <f>IF(AND(tbEstoque[[#This Row],[Criticidade]]="Alta",tbEstoque[[#This Row],[Status_Estoque]]="REPOR"),"Sim","Não")</f>
        <v>Não</v>
      </c>
    </row>
    <row r="6">
      <c r="A6" s="8" t="inlineStr">
        <is>
          <t>MAT005</t>
        </is>
      </c>
      <c r="B6" s="8" t="inlineStr">
        <is>
          <t>Eletrodo Revestido 2,5 mm</t>
        </is>
      </c>
      <c r="C6" s="8" t="inlineStr">
        <is>
          <t>Soldagem</t>
        </is>
      </c>
      <c r="D6" s="8" t="inlineStr">
        <is>
          <t>CX</t>
        </is>
      </c>
      <c r="E6" s="11" t="n">
        <v>7</v>
      </c>
      <c r="F6" s="11" t="n">
        <v>12</v>
      </c>
      <c r="G6" s="12" t="n">
        <v>96</v>
      </c>
      <c r="H6" s="11" t="n">
        <v>12</v>
      </c>
      <c r="I6" s="8" t="inlineStr">
        <is>
          <t>Fornecedor Alfa</t>
        </is>
      </c>
      <c r="J6" s="8" t="inlineStr">
        <is>
          <t>Alta</t>
        </is>
      </c>
      <c r="K6" s="8" t="str">
        <f>IF(tbEstoque[[#This Row],[Estoque_Atual]]&lt;=tbEstoque[[#This Row],[Estoque_Minimo]],"REPOR",IF(tbEstoque[[#This Row],[Estoque_Atual]]&lt;=tbEstoque[[#This Row],[Estoque_Minimo]]*(1+pMargemAtencao),"ATENÇÃO","OK"))</f>
        <v>REPOR</v>
      </c>
      <c r="L6" s="8" t="str">
        <f>IF(AND(tbEstoque[[#This Row],[Criticidade]]="Alta",tbEstoque[[#This Row],[Status_Estoque]]="REPOR"),"Sim","Não")</f>
        <v>Sim</v>
      </c>
    </row>
    <row r="7">
      <c r="A7" s="8" t="inlineStr">
        <is>
          <t>MAT006</t>
        </is>
      </c>
      <c r="B7" s="8" t="inlineStr">
        <is>
          <t>Arame MIG 1,0 mm Bobina</t>
        </is>
      </c>
      <c r="C7" s="8" t="inlineStr">
        <is>
          <t>Soldagem</t>
        </is>
      </c>
      <c r="D7" s="8" t="inlineStr">
        <is>
          <t>UN</t>
        </is>
      </c>
      <c r="E7" s="11" t="n">
        <v>14</v>
      </c>
      <c r="F7" s="11" t="n">
        <v>6</v>
      </c>
      <c r="G7" s="12" t="n">
        <v>210</v>
      </c>
      <c r="H7" s="11" t="n">
        <v>21</v>
      </c>
      <c r="I7" s="8" t="inlineStr">
        <is>
          <t>Fornecedor Delta</t>
        </is>
      </c>
      <c r="J7" s="8" t="inlineStr">
        <is>
          <t>Alta</t>
        </is>
      </c>
      <c r="K7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7" s="8" t="str">
        <f>IF(AND(tbEstoque[[#This Row],[Criticidade]]="Alta",tbEstoque[[#This Row],[Status_Estoque]]="REPOR"),"Sim","Não")</f>
        <v>Não</v>
      </c>
    </row>
    <row r="8">
      <c r="A8" s="8" t="inlineStr">
        <is>
          <t>MAT007</t>
        </is>
      </c>
      <c r="B8" s="8" t="inlineStr">
        <is>
          <t>Disco de Corte 7 pol</t>
        </is>
      </c>
      <c r="C8" s="8" t="inlineStr">
        <is>
          <t>Corte</t>
        </is>
      </c>
      <c r="D8" s="8" t="inlineStr">
        <is>
          <t>UN</t>
        </is>
      </c>
      <c r="E8" s="11" t="n">
        <v>74</v>
      </c>
      <c r="F8" s="11" t="n">
        <v>60</v>
      </c>
      <c r="G8" s="12" t="n">
        <v>12.5</v>
      </c>
      <c r="H8" s="11" t="n">
        <v>7</v>
      </c>
      <c r="I8" s="8" t="inlineStr">
        <is>
          <t>Fornecedor Alfa</t>
        </is>
      </c>
      <c r="J8" s="8" t="inlineStr">
        <is>
          <t>Alta</t>
        </is>
      </c>
      <c r="K8" s="8" t="str">
        <f>IF(tbEstoque[[#This Row],[Estoque_Atual]]&lt;=tbEstoque[[#This Row],[Estoque_Minimo]],"REPOR",IF(tbEstoque[[#This Row],[Estoque_Atual]]&lt;=tbEstoque[[#This Row],[Estoque_Minimo]]*(1+pMargemAtencao),"ATENÇÃO","OK"))</f>
        <v>ATENÇÃO</v>
      </c>
      <c r="L8" s="8" t="str">
        <f>IF(AND(tbEstoque[[#This Row],[Criticidade]]="Alta",tbEstoque[[#This Row],[Status_Estoque]]="REPOR"),"Sim","Não")</f>
        <v>Não</v>
      </c>
    </row>
    <row r="9">
      <c r="A9" s="8" t="inlineStr">
        <is>
          <t>MAT008</t>
        </is>
      </c>
      <c r="B9" s="8" t="inlineStr">
        <is>
          <t>Disco de Corte 4,5 pol</t>
        </is>
      </c>
      <c r="C9" s="8" t="inlineStr">
        <is>
          <t>Corte</t>
        </is>
      </c>
      <c r="D9" s="8" t="inlineStr">
        <is>
          <t>UN</t>
        </is>
      </c>
      <c r="E9" s="11" t="n">
        <v>210</v>
      </c>
      <c r="F9" s="11" t="n">
        <v>80</v>
      </c>
      <c r="G9" s="12" t="n">
        <v>5.9</v>
      </c>
      <c r="H9" s="11" t="n">
        <v>7</v>
      </c>
      <c r="I9" s="8" t="inlineStr">
        <is>
          <t>Fornecedor Alfa</t>
        </is>
      </c>
      <c r="J9" s="8" t="inlineStr">
        <is>
          <t>Média</t>
        </is>
      </c>
      <c r="K9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9" s="8" t="str">
        <f>IF(AND(tbEstoque[[#This Row],[Criticidade]]="Alta",tbEstoque[[#This Row],[Status_Estoque]]="REPOR"),"Sim","Não")</f>
        <v>Não</v>
      </c>
    </row>
    <row r="10">
      <c r="A10" s="8" t="inlineStr">
        <is>
          <t>MAT009</t>
        </is>
      </c>
      <c r="B10" s="8" t="inlineStr">
        <is>
          <t>Serra Copo 51 mm</t>
        </is>
      </c>
      <c r="C10" s="8" t="inlineStr">
        <is>
          <t>Corte</t>
        </is>
      </c>
      <c r="D10" s="8" t="inlineStr">
        <is>
          <t>UN</t>
        </is>
      </c>
      <c r="E10" s="11" t="n">
        <v>12</v>
      </c>
      <c r="F10" s="11" t="n">
        <v>4</v>
      </c>
      <c r="G10" s="12" t="n">
        <v>46</v>
      </c>
      <c r="H10" s="11" t="n">
        <v>15</v>
      </c>
      <c r="I10" s="8" t="inlineStr">
        <is>
          <t>Fornecedor Sigma</t>
        </is>
      </c>
      <c r="J10" s="8" t="inlineStr">
        <is>
          <t>Baixa</t>
        </is>
      </c>
      <c r="K10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10" s="8" t="str">
        <f>IF(AND(tbEstoque[[#This Row],[Criticidade]]="Alta",tbEstoque[[#This Row],[Status_Estoque]]="REPOR"),"Sim","Não")</f>
        <v>Não</v>
      </c>
    </row>
    <row r="11">
      <c r="A11" s="8" t="inlineStr">
        <is>
          <t>MAT010</t>
        </is>
      </c>
      <c r="B11" s="8" t="inlineStr">
        <is>
          <t>Lâmina de Serra Sabre</t>
        </is>
      </c>
      <c r="C11" s="8" t="inlineStr">
        <is>
          <t>Corte</t>
        </is>
      </c>
      <c r="D11" s="8" t="inlineStr">
        <is>
          <t>PCT</t>
        </is>
      </c>
      <c r="E11" s="11" t="n">
        <v>5</v>
      </c>
      <c r="F11" s="11" t="n">
        <v>6</v>
      </c>
      <c r="G11" s="12" t="n">
        <v>62</v>
      </c>
      <c r="H11" s="11" t="n">
        <v>18</v>
      </c>
      <c r="I11" s="8" t="inlineStr">
        <is>
          <t>Fornecedor Sigma</t>
        </is>
      </c>
      <c r="J11" s="8" t="inlineStr">
        <is>
          <t>Média</t>
        </is>
      </c>
      <c r="K11" s="8" t="str">
        <f>IF(tbEstoque[[#This Row],[Estoque_Atual]]&lt;=tbEstoque[[#This Row],[Estoque_Minimo]],"REPOR",IF(tbEstoque[[#This Row],[Estoque_Atual]]&lt;=tbEstoque[[#This Row],[Estoque_Minimo]]*(1+pMargemAtencao),"ATENÇÃO","OK"))</f>
        <v>REPOR</v>
      </c>
      <c r="L11" s="8" t="str">
        <f>IF(AND(tbEstoque[[#This Row],[Criticidade]]="Alta",tbEstoque[[#This Row],[Status_Estoque]]="REPOR"),"Sim","Não")</f>
        <v>Não</v>
      </c>
    </row>
    <row r="12">
      <c r="A12" s="8" t="inlineStr">
        <is>
          <t>MAT011</t>
        </is>
      </c>
      <c r="B12" s="8" t="inlineStr">
        <is>
          <t>Cabo Flexível 2,5 mm² Rolo</t>
        </is>
      </c>
      <c r="C12" s="8" t="inlineStr">
        <is>
          <t>Elétrica</t>
        </is>
      </c>
      <c r="D12" s="8" t="inlineStr">
        <is>
          <t>UN</t>
        </is>
      </c>
      <c r="E12" s="11" t="n">
        <v>8</v>
      </c>
      <c r="F12" s="11" t="n">
        <v>3</v>
      </c>
      <c r="G12" s="12" t="n">
        <v>285</v>
      </c>
      <c r="H12" s="11" t="n">
        <v>20</v>
      </c>
      <c r="I12" s="8" t="inlineStr">
        <is>
          <t>Fornecedor Beta</t>
        </is>
      </c>
      <c r="J12" s="8" t="inlineStr">
        <is>
          <t>Média</t>
        </is>
      </c>
      <c r="K12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12" s="8" t="str">
        <f>IF(AND(tbEstoque[[#This Row],[Criticidade]]="Alta",tbEstoque[[#This Row],[Status_Estoque]]="REPOR"),"Sim","Não")</f>
        <v>Não</v>
      </c>
    </row>
    <row r="13">
      <c r="A13" s="8" t="inlineStr">
        <is>
          <t>MAT012</t>
        </is>
      </c>
      <c r="B13" s="8" t="inlineStr">
        <is>
          <t>Fita Isolante 19 mm</t>
        </is>
      </c>
      <c r="C13" s="8" t="inlineStr">
        <is>
          <t>Elétrica</t>
        </is>
      </c>
      <c r="D13" s="8" t="inlineStr">
        <is>
          <t>PCT</t>
        </is>
      </c>
      <c r="E13" s="11" t="n">
        <v>25</v>
      </c>
      <c r="F13" s="11" t="n">
        <v>10</v>
      </c>
      <c r="G13" s="12" t="n">
        <v>42</v>
      </c>
      <c r="H13" s="11" t="n">
        <v>10</v>
      </c>
      <c r="I13" s="8" t="inlineStr">
        <is>
          <t>Fornecedor Gama</t>
        </is>
      </c>
      <c r="J13" s="8" t="inlineStr">
        <is>
          <t>Baixa</t>
        </is>
      </c>
      <c r="K13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13" s="8" t="str">
        <f>IF(AND(tbEstoque[[#This Row],[Criticidade]]="Alta",tbEstoque[[#This Row],[Status_Estoque]]="REPOR"),"Sim","Não")</f>
        <v>Não</v>
      </c>
    </row>
    <row r="14">
      <c r="A14" s="8" t="inlineStr">
        <is>
          <t>MAT013</t>
        </is>
      </c>
      <c r="B14" s="8" t="inlineStr">
        <is>
          <t>Terminal de Compressão 6 mm²</t>
        </is>
      </c>
      <c r="C14" s="8" t="inlineStr">
        <is>
          <t>Elétrica</t>
        </is>
      </c>
      <c r="D14" s="8" t="inlineStr">
        <is>
          <t>PCT</t>
        </is>
      </c>
      <c r="E14" s="11" t="n">
        <v>14</v>
      </c>
      <c r="F14" s="11" t="n">
        <v>12</v>
      </c>
      <c r="G14" s="12" t="n">
        <v>28</v>
      </c>
      <c r="H14" s="11" t="n">
        <v>14</v>
      </c>
      <c r="I14" s="8" t="inlineStr">
        <is>
          <t>Fornecedor Delta</t>
        </is>
      </c>
      <c r="J14" s="8" t="inlineStr">
        <is>
          <t>Média</t>
        </is>
      </c>
      <c r="K14" s="8" t="str">
        <f>IF(tbEstoque[[#This Row],[Estoque_Atual]]&lt;=tbEstoque[[#This Row],[Estoque_Minimo]],"REPOR",IF(tbEstoque[[#This Row],[Estoque_Atual]]&lt;=tbEstoque[[#This Row],[Estoque_Minimo]]*(1+pMargemAtencao),"ATENÇÃO","OK"))</f>
        <v>ATENÇÃO</v>
      </c>
      <c r="L14" s="8" t="str">
        <f>IF(AND(tbEstoque[[#This Row],[Criticidade]]="Alta",tbEstoque[[#This Row],[Status_Estoque]]="REPOR"),"Sim","Não")</f>
        <v>Não</v>
      </c>
    </row>
    <row r="15">
      <c r="A15" s="8" t="inlineStr">
        <is>
          <t>MAT014</t>
        </is>
      </c>
      <c r="B15" s="8" t="inlineStr">
        <is>
          <t>Disjuntor Tripolar 32 A</t>
        </is>
      </c>
      <c r="C15" s="8" t="inlineStr">
        <is>
          <t>Elétrica</t>
        </is>
      </c>
      <c r="D15" s="8" t="inlineStr">
        <is>
          <t>UN</t>
        </is>
      </c>
      <c r="E15" s="11" t="n">
        <v>3</v>
      </c>
      <c r="F15" s="11" t="n">
        <v>4</v>
      </c>
      <c r="G15" s="12" t="n">
        <v>118</v>
      </c>
      <c r="H15" s="11" t="n">
        <v>21</v>
      </c>
      <c r="I15" s="8" t="inlineStr">
        <is>
          <t>Fornecedor Delta</t>
        </is>
      </c>
      <c r="J15" s="8" t="inlineStr">
        <is>
          <t>Alta</t>
        </is>
      </c>
      <c r="K15" s="8" t="str">
        <f>IF(tbEstoque[[#This Row],[Estoque_Atual]]&lt;=tbEstoque[[#This Row],[Estoque_Minimo]],"REPOR",IF(tbEstoque[[#This Row],[Estoque_Atual]]&lt;=tbEstoque[[#This Row],[Estoque_Minimo]]*(1+pMargemAtencao),"ATENÇÃO","OK"))</f>
        <v>REPOR</v>
      </c>
      <c r="L15" s="8" t="str">
        <f>IF(AND(tbEstoque[[#This Row],[Criticidade]]="Alta",tbEstoque[[#This Row],[Status_Estoque]]="REPOR"),"Sim","Não")</f>
        <v>Sim</v>
      </c>
    </row>
    <row r="16">
      <c r="A16" s="8" t="inlineStr">
        <is>
          <t>MAT015</t>
        </is>
      </c>
      <c r="B16" s="8" t="inlineStr">
        <is>
          <t>Luva de Raspa</t>
        </is>
      </c>
      <c r="C16" s="8" t="inlineStr">
        <is>
          <t>EPI</t>
        </is>
      </c>
      <c r="D16" s="8" t="inlineStr">
        <is>
          <t>PAR</t>
        </is>
      </c>
      <c r="E16" s="11" t="n">
        <v>22</v>
      </c>
      <c r="F16" s="11" t="n">
        <v>30</v>
      </c>
      <c r="G16" s="12" t="n">
        <v>15</v>
      </c>
      <c r="H16" s="11" t="n">
        <v>9</v>
      </c>
      <c r="I16" s="8" t="inlineStr">
        <is>
          <t>Fornecedor Sigma</t>
        </is>
      </c>
      <c r="J16" s="8" t="inlineStr">
        <is>
          <t>Média</t>
        </is>
      </c>
      <c r="K16" s="8" t="str">
        <f>IF(tbEstoque[[#This Row],[Estoque_Atual]]&lt;=tbEstoque[[#This Row],[Estoque_Minimo]],"REPOR",IF(tbEstoque[[#This Row],[Estoque_Atual]]&lt;=tbEstoque[[#This Row],[Estoque_Minimo]]*(1+pMargemAtencao),"ATENÇÃO","OK"))</f>
        <v>REPOR</v>
      </c>
      <c r="L16" s="8" t="str">
        <f>IF(AND(tbEstoque[[#This Row],[Criticidade]]="Alta",tbEstoque[[#This Row],[Status_Estoque]]="REPOR"),"Sim","Não")</f>
        <v>Não</v>
      </c>
    </row>
    <row r="17">
      <c r="A17" s="8" t="inlineStr">
        <is>
          <t>MAT016</t>
        </is>
      </c>
      <c r="B17" s="8" t="inlineStr">
        <is>
          <t>Óculos de Proteção Incolor</t>
        </is>
      </c>
      <c r="C17" s="8" t="inlineStr">
        <is>
          <t>EPI</t>
        </is>
      </c>
      <c r="D17" s="8" t="inlineStr">
        <is>
          <t>UN</t>
        </is>
      </c>
      <c r="E17" s="11" t="n">
        <v>90</v>
      </c>
      <c r="F17" s="11" t="n">
        <v>40</v>
      </c>
      <c r="G17" s="12" t="n">
        <v>6.5</v>
      </c>
      <c r="H17" s="11" t="n">
        <v>5</v>
      </c>
      <c r="I17" s="8" t="inlineStr">
        <is>
          <t>Fornecedor Sigma</t>
        </is>
      </c>
      <c r="J17" s="8" t="inlineStr">
        <is>
          <t>Média</t>
        </is>
      </c>
      <c r="K17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17" s="8" t="str">
        <f>IF(AND(tbEstoque[[#This Row],[Criticidade]]="Alta",tbEstoque[[#This Row],[Status_Estoque]]="REPOR"),"Sim","Não")</f>
        <v>Não</v>
      </c>
    </row>
    <row r="18">
      <c r="A18" s="8" t="inlineStr">
        <is>
          <t>MAT017</t>
        </is>
      </c>
      <c r="B18" s="8" t="inlineStr">
        <is>
          <t>Máscara Respiratória PFF2</t>
        </is>
      </c>
      <c r="C18" s="8" t="inlineStr">
        <is>
          <t>EPI</t>
        </is>
      </c>
      <c r="D18" s="8" t="inlineStr">
        <is>
          <t>CX</t>
        </is>
      </c>
      <c r="E18" s="11" t="n">
        <v>11</v>
      </c>
      <c r="F18" s="11" t="n">
        <v>10</v>
      </c>
      <c r="G18" s="12" t="n">
        <v>72</v>
      </c>
      <c r="H18" s="11" t="n">
        <v>12</v>
      </c>
      <c r="I18" s="8" t="inlineStr">
        <is>
          <t>Fornecedor Sigma</t>
        </is>
      </c>
      <c r="J18" s="8" t="inlineStr">
        <is>
          <t>Alta</t>
        </is>
      </c>
      <c r="K18" s="8" t="str">
        <f>IF(tbEstoque[[#This Row],[Estoque_Atual]]&lt;=tbEstoque[[#This Row],[Estoque_Minimo]],"REPOR",IF(tbEstoque[[#This Row],[Estoque_Atual]]&lt;=tbEstoque[[#This Row],[Estoque_Minimo]]*(1+pMargemAtencao),"ATENÇÃO","OK"))</f>
        <v>ATENÇÃO</v>
      </c>
      <c r="L18" s="8" t="str">
        <f>IF(AND(tbEstoque[[#This Row],[Criticidade]]="Alta",tbEstoque[[#This Row],[Status_Estoque]]="REPOR"),"Sim","Não")</f>
        <v>Não</v>
      </c>
    </row>
    <row r="19">
      <c r="A19" s="8" t="inlineStr">
        <is>
          <t>MAT018</t>
        </is>
      </c>
      <c r="B19" s="8" t="inlineStr">
        <is>
          <t>Chave Combinada 17 mm</t>
        </is>
      </c>
      <c r="C19" s="8" t="inlineStr">
        <is>
          <t>Ferramentas</t>
        </is>
      </c>
      <c r="D19" s="8" t="inlineStr">
        <is>
          <t>UN</t>
        </is>
      </c>
      <c r="E19" s="11" t="n">
        <v>12</v>
      </c>
      <c r="F19" s="11" t="n">
        <v>4</v>
      </c>
      <c r="G19" s="12" t="n">
        <v>24</v>
      </c>
      <c r="H19" s="11" t="n">
        <v>10</v>
      </c>
      <c r="I19" s="8" t="inlineStr">
        <is>
          <t>Fornecedor Gama</t>
        </is>
      </c>
      <c r="J19" s="8" t="inlineStr">
        <is>
          <t>Baixa</t>
        </is>
      </c>
      <c r="K19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19" s="8" t="str">
        <f>IF(AND(tbEstoque[[#This Row],[Criticidade]]="Alta",tbEstoque[[#This Row],[Status_Estoque]]="REPOR"),"Sim","Não")</f>
        <v>Não</v>
      </c>
    </row>
    <row r="20">
      <c r="A20" s="8" t="inlineStr">
        <is>
          <t>MAT019</t>
        </is>
      </c>
      <c r="B20" s="8" t="inlineStr">
        <is>
          <t>Trena de Aço 5 m</t>
        </is>
      </c>
      <c r="C20" s="8" t="inlineStr">
        <is>
          <t>Ferramentas</t>
        </is>
      </c>
      <c r="D20" s="8" t="inlineStr">
        <is>
          <t>UN</t>
        </is>
      </c>
      <c r="E20" s="11" t="n">
        <v>9</v>
      </c>
      <c r="F20" s="11" t="n">
        <v>3</v>
      </c>
      <c r="G20" s="12" t="n">
        <v>19</v>
      </c>
      <c r="H20" s="11" t="n">
        <v>8</v>
      </c>
      <c r="I20" s="8" t="inlineStr">
        <is>
          <t>Fornecedor Beta</t>
        </is>
      </c>
      <c r="J20" s="8" t="inlineStr">
        <is>
          <t>Baixa</t>
        </is>
      </c>
      <c r="K20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20" s="8" t="str">
        <f>IF(AND(tbEstoque[[#This Row],[Criticidade]]="Alta",tbEstoque[[#This Row],[Status_Estoque]]="REPOR"),"Sim","Não")</f>
        <v>Não</v>
      </c>
    </row>
    <row r="21">
      <c r="A21" s="8" t="inlineStr">
        <is>
          <t>MAT020</t>
        </is>
      </c>
      <c r="B21" s="8" t="inlineStr">
        <is>
          <t>Broca de Aço Rápido 10 mm</t>
        </is>
      </c>
      <c r="C21" s="8" t="inlineStr">
        <is>
          <t>Ferramentas</t>
        </is>
      </c>
      <c r="D21" s="8" t="inlineStr">
        <is>
          <t>UN</t>
        </is>
      </c>
      <c r="E21" s="11" t="n">
        <v>26</v>
      </c>
      <c r="F21" s="11" t="n">
        <v>10</v>
      </c>
      <c r="G21" s="12" t="n">
        <v>21</v>
      </c>
      <c r="H21" s="11" t="n">
        <v>12</v>
      </c>
      <c r="I21" s="8" t="inlineStr">
        <is>
          <t>Fornecedor Alfa</t>
        </is>
      </c>
      <c r="J21" s="8" t="inlineStr">
        <is>
          <t>Média</t>
        </is>
      </c>
      <c r="K21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21" s="8" t="str">
        <f>IF(AND(tbEstoque[[#This Row],[Criticidade]]="Alta",tbEstoque[[#This Row],[Status_Estoque]]="REPOR"),"Sim","Não")</f>
        <v>Não</v>
      </c>
    </row>
  </sheetData>
  <conditionalFormatting sqref="A2:L21">
    <cfRule type="expression" priority="1" dxfId="1">
      <formula>$K2="REPOR"</formula>
    </cfRule>
    <cfRule type="expression" priority="2" dxfId="2">
      <formula>$K2="ATENÇÃO"</formula>
    </cfRule>
  </conditionalFormatting>
  <conditionalFormatting sqref="L2:L21">
    <cfRule type="cellIs" priority="3" operator="equal" dxfId="0">
      <formula>"Sim"</formula>
    </cfRule>
  </conditionalFormatting>
  <conditionalFormatting sqref="J2:J21">
    <cfRule type="cellIs" priority="4" operator="equal" dxfId="0">
      <formula>"Alta"</formula>
    </cfRule>
  </conditionalFormatting>
  <dataValidations count="6">
    <dataValidation sqref="C2:C21" showDropDown="0" showInputMessage="0" showErrorMessage="1" allowBlank="0" errorTitle="Valor inválido" error="Use um valor da lista Categorias (aba Parametros)." type="list">
      <formula1>=lstCategorias</formula1>
    </dataValidation>
    <dataValidation sqref="D2:D21" showDropDown="0" showInputMessage="0" showErrorMessage="1" allowBlank="0" errorTitle="Valor inválido" error="Use um valor da lista Unidades (aba Parametros)." type="list">
      <formula1>=lstUnidades</formula1>
    </dataValidation>
    <dataValidation sqref="J2:J21" showDropDown="0" showInputMessage="0" showErrorMessage="1" allowBlank="0" errorTitle="Valor inválido" error="Use um valor da lista Criticidade (aba Parametros)." type="list">
      <formula1>=lstCriticidade</formula1>
    </dataValidation>
    <dataValidation sqref="E2:F21" showDropDown="0" showInputMessage="0" showErrorMessage="1" allowBlank="0" errorTitle="Valor inválido" error="Estoque deve ser inteiro &gt;= 0." type="whole" operator="greaterThanOrEqual">
      <formula1>0</formula1>
    </dataValidation>
    <dataValidation sqref="G2:G21" showDropDown="0" showInputMessage="0" showErrorMessage="1" allowBlank="0" errorTitle="Valor inválido" error="Custo_Unitario deve ser maior que zero." type="decimal" operator="greaterThan">
      <formula1>0</formula1>
    </dataValidation>
    <dataValidation sqref="H2:H21" showDropDown="0" showInputMessage="0" showErrorMessage="1" allowBlank="0" errorTitle="Valor inválido" error="Lead_Time_Dias deve ser inteiro &gt; 0." type="whole" operator="greaterThan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31" customWidth="1" min="4" max="4"/>
    <col width="14" customWidth="1" min="5" max="5"/>
    <col width="14" customWidth="1" min="6" max="6"/>
    <col width="14" customWidth="1" min="7" max="7"/>
    <col width="17" customWidth="1" min="8" max="8"/>
    <col width="18" customWidth="1" min="9" max="9"/>
    <col width="20" customWidth="1" min="10" max="10"/>
    <col width="20" customWidth="1" min="11" max="11"/>
    <col width="14" customWidth="1" min="12" max="12"/>
  </cols>
  <sheetData>
    <row r="1" ht="30" customHeight="1">
      <c r="A1" s="7" t="inlineStr">
        <is>
          <t>Movimento_ID</t>
        </is>
      </c>
      <c r="B1" s="7" t="inlineStr">
        <is>
          <t>Data</t>
        </is>
      </c>
      <c r="C1" s="7" t="inlineStr">
        <is>
          <t>Material_ID</t>
        </is>
      </c>
      <c r="D1" s="7" t="inlineStr">
        <is>
          <t>Material</t>
        </is>
      </c>
      <c r="E1" s="7" t="inlineStr">
        <is>
          <t>Categoria</t>
        </is>
      </c>
      <c r="F1" s="7" t="inlineStr">
        <is>
          <t>Quantidade</t>
        </is>
      </c>
      <c r="G1" s="7" t="inlineStr">
        <is>
          <t>Unidade</t>
        </is>
      </c>
      <c r="H1" s="7" t="inlineStr">
        <is>
          <t>Custo_Unitario</t>
        </is>
      </c>
      <c r="I1" s="7" t="inlineStr">
        <is>
          <t>Centro_Trabalho</t>
        </is>
      </c>
      <c r="J1" s="7" t="inlineStr">
        <is>
          <t>Tipo_Movimentacao</t>
        </is>
      </c>
      <c r="K1" s="10" t="inlineStr">
        <is>
          <t>Custo_Movimentado</t>
        </is>
      </c>
      <c r="L1" s="10" t="inlineStr">
        <is>
          <t>Mes</t>
        </is>
      </c>
    </row>
    <row r="2">
      <c r="A2" s="8" t="inlineStr">
        <is>
          <t>MOV0001</t>
        </is>
      </c>
      <c r="B2" s="13" t="n">
        <v>46174</v>
      </c>
      <c r="C2" s="8" t="inlineStr">
        <is>
          <t>MAT004</t>
        </is>
      </c>
      <c r="D2" s="8" t="inlineStr">
        <is>
          <t>Bico de Contato MIG 1,0 mm</t>
        </is>
      </c>
      <c r="E2" s="8" t="inlineStr">
        <is>
          <t>Soldagem</t>
        </is>
      </c>
      <c r="F2" s="11" t="n">
        <v>2</v>
      </c>
      <c r="G2" s="8" t="inlineStr">
        <is>
          <t>PCT</t>
        </is>
      </c>
      <c r="H2" s="9" t="n">
        <v>45</v>
      </c>
      <c r="I2" s="8" t="inlineStr">
        <is>
          <t>SOLDAGEM</t>
        </is>
      </c>
      <c r="J2" s="8" t="inlineStr">
        <is>
          <t>Consumo</t>
        </is>
      </c>
      <c r="K2" s="9">
        <f>ROUND(tbConsumo[[#This Row],[Quantidade]]*tbConsumo[[#This Row],[Custo_Unitario]],2)</f>
        <v>90</v>
      </c>
      <c r="L2" s="11" t="str">
        <f>YEAR(tbConsumo[[#This Row],[Data]])&amp;"-"&amp;TEXT(MONTH(tbConsumo[[#This Row],[Data]]),"00")</f>
        <v>2026-06</v>
      </c>
    </row>
    <row r="3">
      <c r="A3" s="8" t="inlineStr">
        <is>
          <t>MOV0002</t>
        </is>
      </c>
      <c r="B3" s="13" t="n">
        <v>46175</v>
      </c>
      <c r="C3" s="8" t="inlineStr">
        <is>
          <t>MAT020</t>
        </is>
      </c>
      <c r="D3" s="8" t="inlineStr">
        <is>
          <t>Broca de Aço Rápido 10 mm</t>
        </is>
      </c>
      <c r="E3" s="8" t="inlineStr">
        <is>
          <t>Ferramentas</t>
        </is>
      </c>
      <c r="F3" s="11" t="n">
        <v>1</v>
      </c>
      <c r="G3" s="8" t="inlineStr">
        <is>
          <t>UN</t>
        </is>
      </c>
      <c r="H3" s="9" t="n">
        <v>21</v>
      </c>
      <c r="I3" s="8" t="inlineStr">
        <is>
          <t>ELETRICA</t>
        </is>
      </c>
      <c r="J3" s="8" t="inlineStr">
        <is>
          <t>Consumo</t>
        </is>
      </c>
      <c r="K3" s="9">
        <f>ROUND(tbConsumo[[#This Row],[Quantidade]]*tbConsumo[[#This Row],[Custo_Unitario]],2)</f>
        <v>21</v>
      </c>
      <c r="L3" s="11" t="str">
        <f>YEAR(tbConsumo[[#This Row],[Data]])&amp;"-"&amp;TEXT(MONTH(tbConsumo[[#This Row],[Data]]),"00")</f>
        <v>2026-06</v>
      </c>
    </row>
    <row r="4">
      <c r="A4" s="8" t="inlineStr">
        <is>
          <t>MOV0003</t>
        </is>
      </c>
      <c r="B4" s="13" t="n">
        <v>46176</v>
      </c>
      <c r="C4" s="8" t="inlineStr">
        <is>
          <t>MAT018</t>
        </is>
      </c>
      <c r="D4" s="8" t="inlineStr">
        <is>
          <t>Chave Combinada 17 mm</t>
        </is>
      </c>
      <c r="E4" s="8" t="inlineStr">
        <is>
          <t>Ferramentas</t>
        </is>
      </c>
      <c r="F4" s="11" t="n">
        <v>2</v>
      </c>
      <c r="G4" s="8" t="inlineStr">
        <is>
          <t>UN</t>
        </is>
      </c>
      <c r="H4" s="9" t="n">
        <v>24</v>
      </c>
      <c r="I4" s="8" t="inlineStr">
        <is>
          <t>MANUTENCAO</t>
        </is>
      </c>
      <c r="J4" s="8" t="inlineStr">
        <is>
          <t>Consumo</t>
        </is>
      </c>
      <c r="K4" s="9">
        <f>ROUND(tbConsumo[[#This Row],[Quantidade]]*tbConsumo[[#This Row],[Custo_Unitario]],2)</f>
        <v>48</v>
      </c>
      <c r="L4" s="11" t="str">
        <f>YEAR(tbConsumo[[#This Row],[Data]])&amp;"-"&amp;TEXT(MONTH(tbConsumo[[#This Row],[Data]]),"00")</f>
        <v>2026-06</v>
      </c>
    </row>
    <row r="5">
      <c r="A5" s="8" t="inlineStr">
        <is>
          <t>MOV0004</t>
        </is>
      </c>
      <c r="B5" s="13" t="n">
        <v>46176</v>
      </c>
      <c r="C5" s="8" t="inlineStr">
        <is>
          <t>MAT018</t>
        </is>
      </c>
      <c r="D5" s="8" t="inlineStr">
        <is>
          <t>Chave Combinada 17 mm</t>
        </is>
      </c>
      <c r="E5" s="8" t="inlineStr">
        <is>
          <t>Ferramentas</t>
        </is>
      </c>
      <c r="F5" s="11" t="n">
        <v>1</v>
      </c>
      <c r="G5" s="8" t="inlineStr">
        <is>
          <t>UN</t>
        </is>
      </c>
      <c r="H5" s="9" t="n">
        <v>24</v>
      </c>
      <c r="I5" s="8" t="inlineStr">
        <is>
          <t>MANUTENCAO</t>
        </is>
      </c>
      <c r="J5" s="8" t="inlineStr">
        <is>
          <t>Consumo</t>
        </is>
      </c>
      <c r="K5" s="9">
        <f>ROUND(tbConsumo[[#This Row],[Quantidade]]*tbConsumo[[#This Row],[Custo_Unitario]],2)</f>
        <v>24</v>
      </c>
      <c r="L5" s="11" t="str">
        <f>YEAR(tbConsumo[[#This Row],[Data]])&amp;"-"&amp;TEXT(MONTH(tbConsumo[[#This Row],[Data]]),"00")</f>
        <v>2026-06</v>
      </c>
    </row>
    <row r="6">
      <c r="A6" s="8" t="inlineStr">
        <is>
          <t>MOV0005</t>
        </is>
      </c>
      <c r="B6" s="13" t="n">
        <v>46176</v>
      </c>
      <c r="C6" s="8" t="inlineStr">
        <is>
          <t>MAT001</t>
        </is>
      </c>
      <c r="D6" s="8" t="inlineStr">
        <is>
          <t>Disco de Desbaste 7 pol</t>
        </is>
      </c>
      <c r="E6" s="8" t="inlineStr">
        <is>
          <t>Abrasivos</t>
        </is>
      </c>
      <c r="F6" s="11" t="n">
        <v>10</v>
      </c>
      <c r="G6" s="8" t="inlineStr">
        <is>
          <t>UN</t>
        </is>
      </c>
      <c r="H6" s="9" t="n">
        <v>9.800000000000001</v>
      </c>
      <c r="I6" s="8" t="inlineStr">
        <is>
          <t>MANUTENCAO</t>
        </is>
      </c>
      <c r="J6" s="8" t="inlineStr">
        <is>
          <t>Consumo</t>
        </is>
      </c>
      <c r="K6" s="9">
        <f>ROUND(tbConsumo[[#This Row],[Quantidade]]*tbConsumo[[#This Row],[Custo_Unitario]],2)</f>
        <v>98</v>
      </c>
      <c r="L6" s="11" t="str">
        <f>YEAR(tbConsumo[[#This Row],[Data]])&amp;"-"&amp;TEXT(MONTH(tbConsumo[[#This Row],[Data]]),"00")</f>
        <v>2026-06</v>
      </c>
    </row>
    <row r="7">
      <c r="A7" s="8" t="inlineStr">
        <is>
          <t>MOV0006</t>
        </is>
      </c>
      <c r="B7" s="13" t="n">
        <v>46177</v>
      </c>
      <c r="C7" s="8" t="inlineStr">
        <is>
          <t>MAT003</t>
        </is>
      </c>
      <c r="D7" s="8" t="inlineStr">
        <is>
          <t>Lixa de Ferro Grão 80</t>
        </is>
      </c>
      <c r="E7" s="8" t="inlineStr">
        <is>
          <t>Abrasivos</t>
        </is>
      </c>
      <c r="F7" s="11" t="n">
        <v>1</v>
      </c>
      <c r="G7" s="8" t="inlineStr">
        <is>
          <t>PCT</t>
        </is>
      </c>
      <c r="H7" s="9" t="n">
        <v>38</v>
      </c>
      <c r="I7" s="8" t="inlineStr">
        <is>
          <t>SOLDAGEM</t>
        </is>
      </c>
      <c r="J7" s="8" t="inlineStr">
        <is>
          <t>Consumo</t>
        </is>
      </c>
      <c r="K7" s="9">
        <f>ROUND(tbConsumo[[#This Row],[Quantidade]]*tbConsumo[[#This Row],[Custo_Unitario]],2)</f>
        <v>38</v>
      </c>
      <c r="L7" s="11" t="str">
        <f>YEAR(tbConsumo[[#This Row],[Data]])&amp;"-"&amp;TEXT(MONTH(tbConsumo[[#This Row],[Data]]),"00")</f>
        <v>2026-06</v>
      </c>
    </row>
    <row r="8">
      <c r="A8" s="8" t="inlineStr">
        <is>
          <t>MOV0007</t>
        </is>
      </c>
      <c r="B8" s="13" t="n">
        <v>46177</v>
      </c>
      <c r="C8" s="8" t="inlineStr">
        <is>
          <t>MAT012</t>
        </is>
      </c>
      <c r="D8" s="8" t="inlineStr">
        <is>
          <t>Fita Isolante 19 mm</t>
        </is>
      </c>
      <c r="E8" s="8" t="inlineStr">
        <is>
          <t>Elétrica</t>
        </is>
      </c>
      <c r="F8" s="11" t="n">
        <v>2</v>
      </c>
      <c r="G8" s="8" t="inlineStr">
        <is>
          <t>PCT</t>
        </is>
      </c>
      <c r="H8" s="9" t="n">
        <v>42</v>
      </c>
      <c r="I8" s="8" t="inlineStr">
        <is>
          <t>ELETRICA</t>
        </is>
      </c>
      <c r="J8" s="8" t="inlineStr">
        <is>
          <t>Consumo</t>
        </is>
      </c>
      <c r="K8" s="9">
        <f>ROUND(tbConsumo[[#This Row],[Quantidade]]*tbConsumo[[#This Row],[Custo_Unitario]],2)</f>
        <v>84</v>
      </c>
      <c r="L8" s="11" t="str">
        <f>YEAR(tbConsumo[[#This Row],[Data]])&amp;"-"&amp;TEXT(MONTH(tbConsumo[[#This Row],[Data]]),"00")</f>
        <v>2026-06</v>
      </c>
    </row>
    <row r="9">
      <c r="A9" s="8" t="inlineStr">
        <is>
          <t>MOV0008</t>
        </is>
      </c>
      <c r="B9" s="13" t="n">
        <v>46177</v>
      </c>
      <c r="C9" s="8" t="inlineStr">
        <is>
          <t>MAT001</t>
        </is>
      </c>
      <c r="D9" s="8" t="inlineStr">
        <is>
          <t>Disco de Desbaste 7 pol</t>
        </is>
      </c>
      <c r="E9" s="8" t="inlineStr">
        <is>
          <t>Abrasivos</t>
        </is>
      </c>
      <c r="F9" s="11" t="n">
        <v>15</v>
      </c>
      <c r="G9" s="8" t="inlineStr">
        <is>
          <t>UN</t>
        </is>
      </c>
      <c r="H9" s="9" t="n">
        <v>9.800000000000001</v>
      </c>
      <c r="I9" s="8" t="inlineStr">
        <is>
          <t>MANUTENCAO</t>
        </is>
      </c>
      <c r="J9" s="8" t="inlineStr">
        <is>
          <t>Consumo</t>
        </is>
      </c>
      <c r="K9" s="9">
        <f>ROUND(tbConsumo[[#This Row],[Quantidade]]*tbConsumo[[#This Row],[Custo_Unitario]],2)</f>
        <v>147</v>
      </c>
      <c r="L9" s="11" t="str">
        <f>YEAR(tbConsumo[[#This Row],[Data]])&amp;"-"&amp;TEXT(MONTH(tbConsumo[[#This Row],[Data]]),"00")</f>
        <v>2026-06</v>
      </c>
    </row>
    <row r="10">
      <c r="A10" s="8" t="inlineStr">
        <is>
          <t>MOV0009</t>
        </is>
      </c>
      <c r="B10" s="13" t="n">
        <v>46177</v>
      </c>
      <c r="C10" s="8" t="inlineStr">
        <is>
          <t>MAT018</t>
        </is>
      </c>
      <c r="D10" s="8" t="inlineStr">
        <is>
          <t>Chave Combinada 17 mm</t>
        </is>
      </c>
      <c r="E10" s="8" t="inlineStr">
        <is>
          <t>Ferramentas</t>
        </is>
      </c>
      <c r="F10" s="11" t="n">
        <v>2</v>
      </c>
      <c r="G10" s="8" t="inlineStr">
        <is>
          <t>UN</t>
        </is>
      </c>
      <c r="H10" s="9" t="n">
        <v>24</v>
      </c>
      <c r="I10" s="8" t="inlineStr">
        <is>
          <t>MANUTENCAO</t>
        </is>
      </c>
      <c r="J10" s="8" t="inlineStr">
        <is>
          <t>Consumo</t>
        </is>
      </c>
      <c r="K10" s="9">
        <f>ROUND(tbConsumo[[#This Row],[Quantidade]]*tbConsumo[[#This Row],[Custo_Unitario]],2)</f>
        <v>48</v>
      </c>
      <c r="L10" s="11" t="str">
        <f>YEAR(tbConsumo[[#This Row],[Data]])&amp;"-"&amp;TEXT(MONTH(tbConsumo[[#This Row],[Data]]),"00")</f>
        <v>2026-06</v>
      </c>
    </row>
    <row r="11">
      <c r="A11" s="8" t="inlineStr">
        <is>
          <t>MOV0010</t>
        </is>
      </c>
      <c r="B11" s="13" t="n">
        <v>46177</v>
      </c>
      <c r="C11" s="8" t="inlineStr">
        <is>
          <t>MAT017</t>
        </is>
      </c>
      <c r="D11" s="8" t="inlineStr">
        <is>
          <t>Máscara Respiratória PFF2</t>
        </is>
      </c>
      <c r="E11" s="8" t="inlineStr">
        <is>
          <t>EPI</t>
        </is>
      </c>
      <c r="F11" s="11" t="n">
        <v>3</v>
      </c>
      <c r="G11" s="8" t="inlineStr">
        <is>
          <t>CX</t>
        </is>
      </c>
      <c r="H11" s="9" t="n">
        <v>72</v>
      </c>
      <c r="I11" s="8" t="inlineStr">
        <is>
          <t>FABRICACAO</t>
        </is>
      </c>
      <c r="J11" s="8" t="inlineStr">
        <is>
          <t>Consumo</t>
        </is>
      </c>
      <c r="K11" s="9">
        <f>ROUND(tbConsumo[[#This Row],[Quantidade]]*tbConsumo[[#This Row],[Custo_Unitario]],2)</f>
        <v>216</v>
      </c>
      <c r="L11" s="11" t="str">
        <f>YEAR(tbConsumo[[#This Row],[Data]])&amp;"-"&amp;TEXT(MONTH(tbConsumo[[#This Row],[Data]]),"00")</f>
        <v>2026-06</v>
      </c>
    </row>
    <row r="12">
      <c r="A12" s="8" t="inlineStr">
        <is>
          <t>MOV0011</t>
        </is>
      </c>
      <c r="B12" s="13" t="n">
        <v>46178</v>
      </c>
      <c r="C12" s="8" t="inlineStr">
        <is>
          <t>MAT011</t>
        </is>
      </c>
      <c r="D12" s="8" t="inlineStr">
        <is>
          <t>Cabo Flexível 2,5 mm² Rolo</t>
        </is>
      </c>
      <c r="E12" s="8" t="inlineStr">
        <is>
          <t>Elétrica</t>
        </is>
      </c>
      <c r="F12" s="11" t="n">
        <v>1</v>
      </c>
      <c r="G12" s="8" t="inlineStr">
        <is>
          <t>UN</t>
        </is>
      </c>
      <c r="H12" s="9" t="n">
        <v>285</v>
      </c>
      <c r="I12" s="8" t="inlineStr">
        <is>
          <t>FABRICACAO</t>
        </is>
      </c>
      <c r="J12" s="8" t="inlineStr">
        <is>
          <t>Consumo</t>
        </is>
      </c>
      <c r="K12" s="9">
        <f>ROUND(tbConsumo[[#This Row],[Quantidade]]*tbConsumo[[#This Row],[Custo_Unitario]],2)</f>
        <v>285</v>
      </c>
      <c r="L12" s="11" t="str">
        <f>YEAR(tbConsumo[[#This Row],[Data]])&amp;"-"&amp;TEXT(MONTH(tbConsumo[[#This Row],[Data]]),"00")</f>
        <v>2026-06</v>
      </c>
    </row>
    <row r="13">
      <c r="A13" s="8" t="inlineStr">
        <is>
          <t>MOV0012</t>
        </is>
      </c>
      <c r="B13" s="13" t="n">
        <v>46178</v>
      </c>
      <c r="C13" s="8" t="inlineStr">
        <is>
          <t>MAT004</t>
        </is>
      </c>
      <c r="D13" s="8" t="inlineStr">
        <is>
          <t>Bico de Contato MIG 1,0 mm</t>
        </is>
      </c>
      <c r="E13" s="8" t="inlineStr">
        <is>
          <t>Soldagem</t>
        </is>
      </c>
      <c r="F13" s="11" t="n">
        <v>2</v>
      </c>
      <c r="G13" s="8" t="inlineStr">
        <is>
          <t>PCT</t>
        </is>
      </c>
      <c r="H13" s="9" t="n">
        <v>45</v>
      </c>
      <c r="I13" s="8" t="inlineStr">
        <is>
          <t>MECANICA</t>
        </is>
      </c>
      <c r="J13" s="8" t="inlineStr">
        <is>
          <t>Consumo</t>
        </is>
      </c>
      <c r="K13" s="9">
        <f>ROUND(tbConsumo[[#This Row],[Quantidade]]*tbConsumo[[#This Row],[Custo_Unitario]],2)</f>
        <v>90</v>
      </c>
      <c r="L13" s="11" t="str">
        <f>YEAR(tbConsumo[[#This Row],[Data]])&amp;"-"&amp;TEXT(MONTH(tbConsumo[[#This Row],[Data]]),"00")</f>
        <v>2026-06</v>
      </c>
    </row>
    <row r="14">
      <c r="A14" s="8" t="inlineStr">
        <is>
          <t>MOV0013</t>
        </is>
      </c>
      <c r="B14" s="13" t="n">
        <v>46179</v>
      </c>
      <c r="C14" s="8" t="inlineStr">
        <is>
          <t>MAT001</t>
        </is>
      </c>
      <c r="D14" s="8" t="inlineStr">
        <is>
          <t>Disco de Desbaste 7 pol</t>
        </is>
      </c>
      <c r="E14" s="8" t="inlineStr">
        <is>
          <t>Abrasivos</t>
        </is>
      </c>
      <c r="F14" s="11" t="n">
        <v>6</v>
      </c>
      <c r="G14" s="8" t="inlineStr">
        <is>
          <t>UN</t>
        </is>
      </c>
      <c r="H14" s="9" t="n">
        <v>9.800000000000001</v>
      </c>
      <c r="I14" s="8" t="inlineStr">
        <is>
          <t>MANUTENCAO</t>
        </is>
      </c>
      <c r="J14" s="8" t="inlineStr">
        <is>
          <t>Consumo</t>
        </is>
      </c>
      <c r="K14" s="9">
        <f>ROUND(tbConsumo[[#This Row],[Quantidade]]*tbConsumo[[#This Row],[Custo_Unitario]],2)</f>
        <v>58.8</v>
      </c>
      <c r="L14" s="11" t="str">
        <f>YEAR(tbConsumo[[#This Row],[Data]])&amp;"-"&amp;TEXT(MONTH(tbConsumo[[#This Row],[Data]]),"00")</f>
        <v>2026-06</v>
      </c>
    </row>
    <row r="15">
      <c r="A15" s="8" t="inlineStr">
        <is>
          <t>MOV0014</t>
        </is>
      </c>
      <c r="B15" s="13" t="n">
        <v>46181</v>
      </c>
      <c r="C15" s="8" t="inlineStr">
        <is>
          <t>MAT015</t>
        </is>
      </c>
      <c r="D15" s="8" t="inlineStr">
        <is>
          <t>Luva de Raspa</t>
        </is>
      </c>
      <c r="E15" s="8" t="inlineStr">
        <is>
          <t>EPI</t>
        </is>
      </c>
      <c r="F15" s="11" t="n">
        <v>8</v>
      </c>
      <c r="G15" s="8" t="inlineStr">
        <is>
          <t>PAR</t>
        </is>
      </c>
      <c r="H15" s="9" t="n">
        <v>15</v>
      </c>
      <c r="I15" s="8" t="inlineStr">
        <is>
          <t>SOLDAGEM</t>
        </is>
      </c>
      <c r="J15" s="8" t="inlineStr">
        <is>
          <t>Consumo</t>
        </is>
      </c>
      <c r="K15" s="9">
        <f>ROUND(tbConsumo[[#This Row],[Quantidade]]*tbConsumo[[#This Row],[Custo_Unitario]],2)</f>
        <v>120</v>
      </c>
      <c r="L15" s="11" t="str">
        <f>YEAR(tbConsumo[[#This Row],[Data]])&amp;"-"&amp;TEXT(MONTH(tbConsumo[[#This Row],[Data]]),"00")</f>
        <v>2026-06</v>
      </c>
    </row>
    <row r="16">
      <c r="A16" s="8" t="inlineStr">
        <is>
          <t>MOV0015</t>
        </is>
      </c>
      <c r="B16" s="13" t="n">
        <v>46181</v>
      </c>
      <c r="C16" s="8" t="inlineStr">
        <is>
          <t>MAT012</t>
        </is>
      </c>
      <c r="D16" s="8" t="inlineStr">
        <is>
          <t>Fita Isolante 19 mm</t>
        </is>
      </c>
      <c r="E16" s="8" t="inlineStr">
        <is>
          <t>Elétrica</t>
        </is>
      </c>
      <c r="F16" s="11" t="n">
        <v>1</v>
      </c>
      <c r="G16" s="8" t="inlineStr">
        <is>
          <t>PCT</t>
        </is>
      </c>
      <c r="H16" s="9" t="n">
        <v>42</v>
      </c>
      <c r="I16" s="8" t="inlineStr">
        <is>
          <t>ELETRICA</t>
        </is>
      </c>
      <c r="J16" s="8" t="inlineStr">
        <is>
          <t>Consumo</t>
        </is>
      </c>
      <c r="K16" s="9">
        <f>ROUND(tbConsumo[[#This Row],[Quantidade]]*tbConsumo[[#This Row],[Custo_Unitario]],2)</f>
        <v>42</v>
      </c>
      <c r="L16" s="11" t="str">
        <f>YEAR(tbConsumo[[#This Row],[Data]])&amp;"-"&amp;TEXT(MONTH(tbConsumo[[#This Row],[Data]]),"00")</f>
        <v>2026-06</v>
      </c>
    </row>
    <row r="17">
      <c r="A17" s="8" t="inlineStr">
        <is>
          <t>MOV0016</t>
        </is>
      </c>
      <c r="B17" s="13" t="n">
        <v>46181</v>
      </c>
      <c r="C17" s="8" t="inlineStr">
        <is>
          <t>MAT016</t>
        </is>
      </c>
      <c r="D17" s="8" t="inlineStr">
        <is>
          <t>Óculos de Proteção Incolor</t>
        </is>
      </c>
      <c r="E17" s="8" t="inlineStr">
        <is>
          <t>EPI</t>
        </is>
      </c>
      <c r="F17" s="11" t="n">
        <v>8</v>
      </c>
      <c r="G17" s="8" t="inlineStr">
        <is>
          <t>UN</t>
        </is>
      </c>
      <c r="H17" s="9" t="n">
        <v>6.5</v>
      </c>
      <c r="I17" s="8" t="inlineStr">
        <is>
          <t>MECANICA</t>
        </is>
      </c>
      <c r="J17" s="8" t="inlineStr">
        <is>
          <t>Consumo</t>
        </is>
      </c>
      <c r="K17" s="9">
        <f>ROUND(tbConsumo[[#This Row],[Quantidade]]*tbConsumo[[#This Row],[Custo_Unitario]],2)</f>
        <v>52</v>
      </c>
      <c r="L17" s="11" t="str">
        <f>YEAR(tbConsumo[[#This Row],[Data]])&amp;"-"&amp;TEXT(MONTH(tbConsumo[[#This Row],[Data]]),"00")</f>
        <v>2026-06</v>
      </c>
    </row>
    <row r="18">
      <c r="A18" s="8" t="inlineStr">
        <is>
          <t>MOV0017</t>
        </is>
      </c>
      <c r="B18" s="13" t="n">
        <v>46182</v>
      </c>
      <c r="C18" s="8" t="inlineStr">
        <is>
          <t>MAT015</t>
        </is>
      </c>
      <c r="D18" s="8" t="inlineStr">
        <is>
          <t>Luva de Raspa</t>
        </is>
      </c>
      <c r="E18" s="8" t="inlineStr">
        <is>
          <t>EPI</t>
        </is>
      </c>
      <c r="F18" s="11" t="n">
        <v>4</v>
      </c>
      <c r="G18" s="8" t="inlineStr">
        <is>
          <t>PAR</t>
        </is>
      </c>
      <c r="H18" s="9" t="n">
        <v>15</v>
      </c>
      <c r="I18" s="8" t="inlineStr">
        <is>
          <t>MANUTENCAO</t>
        </is>
      </c>
      <c r="J18" s="8" t="inlineStr">
        <is>
          <t>Consumo</t>
        </is>
      </c>
      <c r="K18" s="9">
        <f>ROUND(tbConsumo[[#This Row],[Quantidade]]*tbConsumo[[#This Row],[Custo_Unitario]],2)</f>
        <v>60</v>
      </c>
      <c r="L18" s="11" t="str">
        <f>YEAR(tbConsumo[[#This Row],[Data]])&amp;"-"&amp;TEXT(MONTH(tbConsumo[[#This Row],[Data]]),"00")</f>
        <v>2026-06</v>
      </c>
    </row>
    <row r="19">
      <c r="A19" s="8" t="inlineStr">
        <is>
          <t>MOV0018</t>
        </is>
      </c>
      <c r="B19" s="13" t="n">
        <v>46182</v>
      </c>
      <c r="C19" s="8" t="inlineStr">
        <is>
          <t>MAT015</t>
        </is>
      </c>
      <c r="D19" s="8" t="inlineStr">
        <is>
          <t>Luva de Raspa</t>
        </is>
      </c>
      <c r="E19" s="8" t="inlineStr">
        <is>
          <t>EPI</t>
        </is>
      </c>
      <c r="F19" s="11" t="n">
        <v>8</v>
      </c>
      <c r="G19" s="8" t="inlineStr">
        <is>
          <t>PAR</t>
        </is>
      </c>
      <c r="H19" s="9" t="n">
        <v>15</v>
      </c>
      <c r="I19" s="8" t="inlineStr">
        <is>
          <t>MANUTENCAO</t>
        </is>
      </c>
      <c r="J19" s="8" t="inlineStr">
        <is>
          <t>Consumo</t>
        </is>
      </c>
      <c r="K19" s="9">
        <f>ROUND(tbConsumo[[#This Row],[Quantidade]]*tbConsumo[[#This Row],[Custo_Unitario]],2)</f>
        <v>120</v>
      </c>
      <c r="L19" s="11" t="str">
        <f>YEAR(tbConsumo[[#This Row],[Data]])&amp;"-"&amp;TEXT(MONTH(tbConsumo[[#This Row],[Data]]),"00")</f>
        <v>2026-06</v>
      </c>
    </row>
    <row r="20">
      <c r="A20" s="8" t="inlineStr">
        <is>
          <t>MOV0019</t>
        </is>
      </c>
      <c r="B20" s="13" t="n">
        <v>46182</v>
      </c>
      <c r="C20" s="8" t="inlineStr">
        <is>
          <t>MAT013</t>
        </is>
      </c>
      <c r="D20" s="8" t="inlineStr">
        <is>
          <t>Terminal de Compressão 6 mm²</t>
        </is>
      </c>
      <c r="E20" s="8" t="inlineStr">
        <is>
          <t>Elétrica</t>
        </is>
      </c>
      <c r="F20" s="11" t="n">
        <v>2</v>
      </c>
      <c r="G20" s="8" t="inlineStr">
        <is>
          <t>PCT</t>
        </is>
      </c>
      <c r="H20" s="9" t="n">
        <v>28</v>
      </c>
      <c r="I20" s="8" t="inlineStr">
        <is>
          <t>SOLDAGEM</t>
        </is>
      </c>
      <c r="J20" s="8" t="inlineStr">
        <is>
          <t>Consumo</t>
        </is>
      </c>
      <c r="K20" s="9">
        <f>ROUND(tbConsumo[[#This Row],[Quantidade]]*tbConsumo[[#This Row],[Custo_Unitario]],2)</f>
        <v>56</v>
      </c>
      <c r="L20" s="11" t="str">
        <f>YEAR(tbConsumo[[#This Row],[Data]])&amp;"-"&amp;TEXT(MONTH(tbConsumo[[#This Row],[Data]]),"00")</f>
        <v>2026-06</v>
      </c>
    </row>
    <row r="21">
      <c r="A21" s="8" t="inlineStr">
        <is>
          <t>MOV0020</t>
        </is>
      </c>
      <c r="B21" s="13" t="n">
        <v>46182</v>
      </c>
      <c r="C21" s="8" t="inlineStr">
        <is>
          <t>MAT007</t>
        </is>
      </c>
      <c r="D21" s="8" t="inlineStr">
        <is>
          <t>Disco de Corte 7 pol</t>
        </is>
      </c>
      <c r="E21" s="8" t="inlineStr">
        <is>
          <t>Corte</t>
        </is>
      </c>
      <c r="F21" s="11" t="n">
        <v>31</v>
      </c>
      <c r="G21" s="8" t="inlineStr">
        <is>
          <t>UN</t>
        </is>
      </c>
      <c r="H21" s="9" t="n">
        <v>12.5</v>
      </c>
      <c r="I21" s="8" t="inlineStr">
        <is>
          <t>FABRICACAO</t>
        </is>
      </c>
      <c r="J21" s="8" t="inlineStr">
        <is>
          <t>Consumo</t>
        </is>
      </c>
      <c r="K21" s="9">
        <f>ROUND(tbConsumo[[#This Row],[Quantidade]]*tbConsumo[[#This Row],[Custo_Unitario]],2)</f>
        <v>387.5</v>
      </c>
      <c r="L21" s="11" t="str">
        <f>YEAR(tbConsumo[[#This Row],[Data]])&amp;"-"&amp;TEXT(MONTH(tbConsumo[[#This Row],[Data]]),"00")</f>
        <v>2026-06</v>
      </c>
    </row>
    <row r="22">
      <c r="A22" s="8" t="inlineStr">
        <is>
          <t>MOV0021</t>
        </is>
      </c>
      <c r="B22" s="13" t="n">
        <v>46182</v>
      </c>
      <c r="C22" s="8" t="inlineStr">
        <is>
          <t>MAT013</t>
        </is>
      </c>
      <c r="D22" s="8" t="inlineStr">
        <is>
          <t>Terminal de Compressão 6 mm²</t>
        </is>
      </c>
      <c r="E22" s="8" t="inlineStr">
        <is>
          <t>Elétrica</t>
        </is>
      </c>
      <c r="F22" s="11" t="n">
        <v>3</v>
      </c>
      <c r="G22" s="8" t="inlineStr">
        <is>
          <t>PCT</t>
        </is>
      </c>
      <c r="H22" s="9" t="n">
        <v>28</v>
      </c>
      <c r="I22" s="8" t="inlineStr">
        <is>
          <t>ELETRICA</t>
        </is>
      </c>
      <c r="J22" s="8" t="inlineStr">
        <is>
          <t>Consumo</t>
        </is>
      </c>
      <c r="K22" s="9">
        <f>ROUND(tbConsumo[[#This Row],[Quantidade]]*tbConsumo[[#This Row],[Custo_Unitario]],2)</f>
        <v>84</v>
      </c>
      <c r="L22" s="11" t="str">
        <f>YEAR(tbConsumo[[#This Row],[Data]])&amp;"-"&amp;TEXT(MONTH(tbConsumo[[#This Row],[Data]]),"00")</f>
        <v>2026-06</v>
      </c>
    </row>
    <row r="23">
      <c r="A23" s="8" t="inlineStr">
        <is>
          <t>MOV0022</t>
        </is>
      </c>
      <c r="B23" s="13" t="n">
        <v>46182</v>
      </c>
      <c r="C23" s="8" t="inlineStr">
        <is>
          <t>MAT001</t>
        </is>
      </c>
      <c r="D23" s="8" t="inlineStr">
        <is>
          <t>Disco de Desbaste 7 pol</t>
        </is>
      </c>
      <c r="E23" s="8" t="inlineStr">
        <is>
          <t>Abrasivos</t>
        </is>
      </c>
      <c r="F23" s="11" t="n">
        <v>15</v>
      </c>
      <c r="G23" s="8" t="inlineStr">
        <is>
          <t>UN</t>
        </is>
      </c>
      <c r="H23" s="9" t="n">
        <v>9.800000000000001</v>
      </c>
      <c r="I23" s="8" t="inlineStr">
        <is>
          <t>SOLDAGEM</t>
        </is>
      </c>
      <c r="J23" s="8" t="inlineStr">
        <is>
          <t>Consumo</t>
        </is>
      </c>
      <c r="K23" s="9">
        <f>ROUND(tbConsumo[[#This Row],[Quantidade]]*tbConsumo[[#This Row],[Custo_Unitario]],2)</f>
        <v>147</v>
      </c>
      <c r="L23" s="11" t="str">
        <f>YEAR(tbConsumo[[#This Row],[Data]])&amp;"-"&amp;TEXT(MONTH(tbConsumo[[#This Row],[Data]]),"00")</f>
        <v>2026-06</v>
      </c>
    </row>
    <row r="24">
      <c r="A24" s="8" t="inlineStr">
        <is>
          <t>MOV0023</t>
        </is>
      </c>
      <c r="B24" s="13" t="n">
        <v>46183</v>
      </c>
      <c r="C24" s="8" t="inlineStr">
        <is>
          <t>MAT008</t>
        </is>
      </c>
      <c r="D24" s="8" t="inlineStr">
        <is>
          <t>Disco de Corte 4,5 pol</t>
        </is>
      </c>
      <c r="E24" s="8" t="inlineStr">
        <is>
          <t>Corte</t>
        </is>
      </c>
      <c r="F24" s="11" t="n">
        <v>32</v>
      </c>
      <c r="G24" s="8" t="inlineStr">
        <is>
          <t>UN</t>
        </is>
      </c>
      <c r="H24" s="9" t="n">
        <v>5.9</v>
      </c>
      <c r="I24" s="8" t="inlineStr">
        <is>
          <t>MANUTENCAO</t>
        </is>
      </c>
      <c r="J24" s="8" t="inlineStr">
        <is>
          <t>Consumo</t>
        </is>
      </c>
      <c r="K24" s="9">
        <f>ROUND(tbConsumo[[#This Row],[Quantidade]]*tbConsumo[[#This Row],[Custo_Unitario]],2)</f>
        <v>188.8</v>
      </c>
      <c r="L24" s="11" t="str">
        <f>YEAR(tbConsumo[[#This Row],[Data]])&amp;"-"&amp;TEXT(MONTH(tbConsumo[[#This Row],[Data]]),"00")</f>
        <v>2026-06</v>
      </c>
    </row>
    <row r="25">
      <c r="A25" s="8" t="inlineStr">
        <is>
          <t>MOV0024</t>
        </is>
      </c>
      <c r="B25" s="13" t="n">
        <v>46184</v>
      </c>
      <c r="C25" s="8" t="inlineStr">
        <is>
          <t>MAT009</t>
        </is>
      </c>
      <c r="D25" s="8" t="inlineStr">
        <is>
          <t>Serra Copo 51 mm</t>
        </is>
      </c>
      <c r="E25" s="8" t="inlineStr">
        <is>
          <t>Corte</t>
        </is>
      </c>
      <c r="F25" s="11" t="n">
        <v>1</v>
      </c>
      <c r="G25" s="8" t="inlineStr">
        <is>
          <t>UN</t>
        </is>
      </c>
      <c r="H25" s="9" t="n">
        <v>46</v>
      </c>
      <c r="I25" s="8" t="inlineStr">
        <is>
          <t>FABRICACAO</t>
        </is>
      </c>
      <c r="J25" s="8" t="inlineStr">
        <is>
          <t>Consumo</t>
        </is>
      </c>
      <c r="K25" s="9">
        <f>ROUND(tbConsumo[[#This Row],[Quantidade]]*tbConsumo[[#This Row],[Custo_Unitario]],2)</f>
        <v>46</v>
      </c>
      <c r="L25" s="11" t="str">
        <f>YEAR(tbConsumo[[#This Row],[Data]])&amp;"-"&amp;TEXT(MONTH(tbConsumo[[#This Row],[Data]]),"00")</f>
        <v>2026-06</v>
      </c>
    </row>
    <row r="26">
      <c r="A26" s="8" t="inlineStr">
        <is>
          <t>MOV0025</t>
        </is>
      </c>
      <c r="B26" s="13" t="n">
        <v>46184</v>
      </c>
      <c r="C26" s="8" t="inlineStr">
        <is>
          <t>MAT008</t>
        </is>
      </c>
      <c r="D26" s="8" t="inlineStr">
        <is>
          <t>Disco de Corte 4,5 pol</t>
        </is>
      </c>
      <c r="E26" s="8" t="inlineStr">
        <is>
          <t>Corte</t>
        </is>
      </c>
      <c r="F26" s="11" t="n">
        <v>29</v>
      </c>
      <c r="G26" s="8" t="inlineStr">
        <is>
          <t>UN</t>
        </is>
      </c>
      <c r="H26" s="9" t="n">
        <v>5.9</v>
      </c>
      <c r="I26" s="8" t="inlineStr">
        <is>
          <t>MANUTENCAO</t>
        </is>
      </c>
      <c r="J26" s="8" t="inlineStr">
        <is>
          <t>Consumo</t>
        </is>
      </c>
      <c r="K26" s="9">
        <f>ROUND(tbConsumo[[#This Row],[Quantidade]]*tbConsumo[[#This Row],[Custo_Unitario]],2)</f>
        <v>171.1</v>
      </c>
      <c r="L26" s="11" t="str">
        <f>YEAR(tbConsumo[[#This Row],[Data]])&amp;"-"&amp;TEXT(MONTH(tbConsumo[[#This Row],[Data]]),"00")</f>
        <v>2026-06</v>
      </c>
    </row>
    <row r="27">
      <c r="A27" s="8" t="inlineStr">
        <is>
          <t>MOV0026</t>
        </is>
      </c>
      <c r="B27" s="13" t="n">
        <v>46184</v>
      </c>
      <c r="C27" s="8" t="inlineStr">
        <is>
          <t>MAT001</t>
        </is>
      </c>
      <c r="D27" s="8" t="inlineStr">
        <is>
          <t>Disco de Desbaste 7 pol</t>
        </is>
      </c>
      <c r="E27" s="8" t="inlineStr">
        <is>
          <t>Abrasivos</t>
        </is>
      </c>
      <c r="F27" s="11" t="n">
        <v>30</v>
      </c>
      <c r="G27" s="8" t="inlineStr">
        <is>
          <t>UN</t>
        </is>
      </c>
      <c r="H27" s="9" t="n">
        <v>9.800000000000001</v>
      </c>
      <c r="I27" s="8" t="inlineStr">
        <is>
          <t>FABRICACAO</t>
        </is>
      </c>
      <c r="J27" s="8" t="inlineStr">
        <is>
          <t>Consumo</t>
        </is>
      </c>
      <c r="K27" s="9">
        <f>ROUND(tbConsumo[[#This Row],[Quantidade]]*tbConsumo[[#This Row],[Custo_Unitario]],2)</f>
        <v>294</v>
      </c>
      <c r="L27" s="11" t="str">
        <f>YEAR(tbConsumo[[#This Row],[Data]])&amp;"-"&amp;TEXT(MONTH(tbConsumo[[#This Row],[Data]]),"00")</f>
        <v>2026-06</v>
      </c>
    </row>
    <row r="28">
      <c r="A28" s="8" t="inlineStr">
        <is>
          <t>MOV0027</t>
        </is>
      </c>
      <c r="B28" s="13" t="n">
        <v>46185</v>
      </c>
      <c r="C28" s="8" t="inlineStr">
        <is>
          <t>MAT005</t>
        </is>
      </c>
      <c r="D28" s="8" t="inlineStr">
        <is>
          <t>Eletrodo Revestido 2,5 mm</t>
        </is>
      </c>
      <c r="E28" s="8" t="inlineStr">
        <is>
          <t>Soldagem</t>
        </is>
      </c>
      <c r="F28" s="11" t="n">
        <v>2</v>
      </c>
      <c r="G28" s="8" t="inlineStr">
        <is>
          <t>CX</t>
        </is>
      </c>
      <c r="H28" s="9" t="n">
        <v>96</v>
      </c>
      <c r="I28" s="8" t="inlineStr">
        <is>
          <t>SOLDAGEM</t>
        </is>
      </c>
      <c r="J28" s="8" t="inlineStr">
        <is>
          <t>Consumo</t>
        </is>
      </c>
      <c r="K28" s="9">
        <f>ROUND(tbConsumo[[#This Row],[Quantidade]]*tbConsumo[[#This Row],[Custo_Unitario]],2)</f>
        <v>192</v>
      </c>
      <c r="L28" s="11" t="str">
        <f>YEAR(tbConsumo[[#This Row],[Data]])&amp;"-"&amp;TEXT(MONTH(tbConsumo[[#This Row],[Data]]),"00")</f>
        <v>2026-06</v>
      </c>
    </row>
    <row r="29">
      <c r="A29" s="8" t="inlineStr">
        <is>
          <t>MOV0028</t>
        </is>
      </c>
      <c r="B29" s="13" t="n">
        <v>46185</v>
      </c>
      <c r="C29" s="8" t="inlineStr">
        <is>
          <t>MAT002</t>
        </is>
      </c>
      <c r="D29" s="8" t="inlineStr">
        <is>
          <t>Disco Flap 4,5 pol Grão 60</t>
        </is>
      </c>
      <c r="E29" s="8" t="inlineStr">
        <is>
          <t>Abrasivos</t>
        </is>
      </c>
      <c r="F29" s="11" t="n">
        <v>29</v>
      </c>
      <c r="G29" s="8" t="inlineStr">
        <is>
          <t>UN</t>
        </is>
      </c>
      <c r="H29" s="9" t="n">
        <v>7.4</v>
      </c>
      <c r="I29" s="8" t="inlineStr">
        <is>
          <t>MANUTENCAO</t>
        </is>
      </c>
      <c r="J29" s="8" t="inlineStr">
        <is>
          <t>Consumo</t>
        </is>
      </c>
      <c r="K29" s="9">
        <f>ROUND(tbConsumo[[#This Row],[Quantidade]]*tbConsumo[[#This Row],[Custo_Unitario]],2)</f>
        <v>214.6</v>
      </c>
      <c r="L29" s="11" t="str">
        <f>YEAR(tbConsumo[[#This Row],[Data]])&amp;"-"&amp;TEXT(MONTH(tbConsumo[[#This Row],[Data]]),"00")</f>
        <v>2026-06</v>
      </c>
    </row>
    <row r="30">
      <c r="A30" s="8" t="inlineStr">
        <is>
          <t>MOV0029</t>
        </is>
      </c>
      <c r="B30" s="13" t="n">
        <v>46186</v>
      </c>
      <c r="C30" s="8" t="inlineStr">
        <is>
          <t>MAT009</t>
        </is>
      </c>
      <c r="D30" s="8" t="inlineStr">
        <is>
          <t>Serra Copo 51 mm</t>
        </is>
      </c>
      <c r="E30" s="8" t="inlineStr">
        <is>
          <t>Corte</t>
        </is>
      </c>
      <c r="F30" s="11" t="n">
        <v>1</v>
      </c>
      <c r="G30" s="8" t="inlineStr">
        <is>
          <t>UN</t>
        </is>
      </c>
      <c r="H30" s="9" t="n">
        <v>46</v>
      </c>
      <c r="I30" s="8" t="inlineStr">
        <is>
          <t>MECANICA</t>
        </is>
      </c>
      <c r="J30" s="8" t="inlineStr">
        <is>
          <t>Consumo</t>
        </is>
      </c>
      <c r="K30" s="9">
        <f>ROUND(tbConsumo[[#This Row],[Quantidade]]*tbConsumo[[#This Row],[Custo_Unitario]],2)</f>
        <v>46</v>
      </c>
      <c r="L30" s="11" t="str">
        <f>YEAR(tbConsumo[[#This Row],[Data]])&amp;"-"&amp;TEXT(MONTH(tbConsumo[[#This Row],[Data]]),"00")</f>
        <v>2026-06</v>
      </c>
    </row>
    <row r="31">
      <c r="A31" s="8" t="inlineStr">
        <is>
          <t>MOV0030</t>
        </is>
      </c>
      <c r="B31" s="13" t="n">
        <v>46186</v>
      </c>
      <c r="C31" s="8" t="inlineStr">
        <is>
          <t>MAT008</t>
        </is>
      </c>
      <c r="D31" s="8" t="inlineStr">
        <is>
          <t>Disco de Corte 4,5 pol</t>
        </is>
      </c>
      <c r="E31" s="8" t="inlineStr">
        <is>
          <t>Corte</t>
        </is>
      </c>
      <c r="F31" s="11" t="n">
        <v>60</v>
      </c>
      <c r="G31" s="8" t="inlineStr">
        <is>
          <t>UN</t>
        </is>
      </c>
      <c r="H31" s="9" t="n">
        <v>5.9</v>
      </c>
      <c r="I31" s="8" t="inlineStr">
        <is>
          <t>SOLDAGEM</t>
        </is>
      </c>
      <c r="J31" s="8" t="inlineStr">
        <is>
          <t>Consumo</t>
        </is>
      </c>
      <c r="K31" s="9">
        <f>ROUND(tbConsumo[[#This Row],[Quantidade]]*tbConsumo[[#This Row],[Custo_Unitario]],2)</f>
        <v>354</v>
      </c>
      <c r="L31" s="11" t="str">
        <f>YEAR(tbConsumo[[#This Row],[Data]])&amp;"-"&amp;TEXT(MONTH(tbConsumo[[#This Row],[Data]]),"00")</f>
        <v>2026-06</v>
      </c>
    </row>
    <row r="32">
      <c r="A32" s="8" t="inlineStr">
        <is>
          <t>MOV0031</t>
        </is>
      </c>
      <c r="B32" s="13" t="n">
        <v>46188</v>
      </c>
      <c r="C32" s="8" t="inlineStr">
        <is>
          <t>MAT015</t>
        </is>
      </c>
      <c r="D32" s="8" t="inlineStr">
        <is>
          <t>Luva de Raspa</t>
        </is>
      </c>
      <c r="E32" s="8" t="inlineStr">
        <is>
          <t>EPI</t>
        </is>
      </c>
      <c r="F32" s="11" t="n">
        <v>2</v>
      </c>
      <c r="G32" s="8" t="inlineStr">
        <is>
          <t>PAR</t>
        </is>
      </c>
      <c r="H32" s="9" t="n">
        <v>15</v>
      </c>
      <c r="I32" s="8" t="inlineStr">
        <is>
          <t>SOLDAGEM</t>
        </is>
      </c>
      <c r="J32" s="8" t="inlineStr">
        <is>
          <t>Consumo</t>
        </is>
      </c>
      <c r="K32" s="9">
        <f>ROUND(tbConsumo[[#This Row],[Quantidade]]*tbConsumo[[#This Row],[Custo_Unitario]],2)</f>
        <v>30</v>
      </c>
      <c r="L32" s="11" t="str">
        <f>YEAR(tbConsumo[[#This Row],[Data]])&amp;"-"&amp;TEXT(MONTH(tbConsumo[[#This Row],[Data]]),"00")</f>
        <v>2026-06</v>
      </c>
    </row>
    <row r="33">
      <c r="A33" s="8" t="inlineStr">
        <is>
          <t>MOV0032</t>
        </is>
      </c>
      <c r="B33" s="13" t="n">
        <v>46188</v>
      </c>
      <c r="C33" s="8" t="inlineStr">
        <is>
          <t>MAT014</t>
        </is>
      </c>
      <c r="D33" s="8" t="inlineStr">
        <is>
          <t>Disjuntor Tripolar 32 A</t>
        </is>
      </c>
      <c r="E33" s="8" t="inlineStr">
        <is>
          <t>Elétrica</t>
        </is>
      </c>
      <c r="F33" s="11" t="n">
        <v>2</v>
      </c>
      <c r="G33" s="8" t="inlineStr">
        <is>
          <t>UN</t>
        </is>
      </c>
      <c r="H33" s="9" t="n">
        <v>118</v>
      </c>
      <c r="I33" s="8" t="inlineStr">
        <is>
          <t>MANUTENCAO</t>
        </is>
      </c>
      <c r="J33" s="8" t="inlineStr">
        <is>
          <t>Consumo</t>
        </is>
      </c>
      <c r="K33" s="9">
        <f>ROUND(tbConsumo[[#This Row],[Quantidade]]*tbConsumo[[#This Row],[Custo_Unitario]],2)</f>
        <v>236</v>
      </c>
      <c r="L33" s="11" t="str">
        <f>YEAR(tbConsumo[[#This Row],[Data]])&amp;"-"&amp;TEXT(MONTH(tbConsumo[[#This Row],[Data]]),"00")</f>
        <v>2026-06</v>
      </c>
    </row>
    <row r="34">
      <c r="A34" s="8" t="inlineStr">
        <is>
          <t>MOV0033</t>
        </is>
      </c>
      <c r="B34" s="13" t="n">
        <v>46188</v>
      </c>
      <c r="C34" s="8" t="inlineStr">
        <is>
          <t>MAT002</t>
        </is>
      </c>
      <c r="D34" s="8" t="inlineStr">
        <is>
          <t>Disco Flap 4,5 pol Grão 60</t>
        </is>
      </c>
      <c r="E34" s="8" t="inlineStr">
        <is>
          <t>Abrasivos</t>
        </is>
      </c>
      <c r="F34" s="11" t="n">
        <v>19</v>
      </c>
      <c r="G34" s="8" t="inlineStr">
        <is>
          <t>UN</t>
        </is>
      </c>
      <c r="H34" s="9" t="n">
        <v>7.4</v>
      </c>
      <c r="I34" s="8" t="inlineStr">
        <is>
          <t>MANUTENCAO</t>
        </is>
      </c>
      <c r="J34" s="8" t="inlineStr">
        <is>
          <t>Consumo</t>
        </is>
      </c>
      <c r="K34" s="9">
        <f>ROUND(tbConsumo[[#This Row],[Quantidade]]*tbConsumo[[#This Row],[Custo_Unitario]],2)</f>
        <v>140.6</v>
      </c>
      <c r="L34" s="11" t="str">
        <f>YEAR(tbConsumo[[#This Row],[Data]])&amp;"-"&amp;TEXT(MONTH(tbConsumo[[#This Row],[Data]]),"00")</f>
        <v>2026-06</v>
      </c>
    </row>
    <row r="35">
      <c r="A35" s="8" t="inlineStr">
        <is>
          <t>MOV0034</t>
        </is>
      </c>
      <c r="B35" s="13" t="n">
        <v>46188</v>
      </c>
      <c r="C35" s="8" t="inlineStr">
        <is>
          <t>MAT016</t>
        </is>
      </c>
      <c r="D35" s="8" t="inlineStr">
        <is>
          <t>Óculos de Proteção Incolor</t>
        </is>
      </c>
      <c r="E35" s="8" t="inlineStr">
        <is>
          <t>EPI</t>
        </is>
      </c>
      <c r="F35" s="11" t="n">
        <v>3</v>
      </c>
      <c r="G35" s="8" t="inlineStr">
        <is>
          <t>UN</t>
        </is>
      </c>
      <c r="H35" s="9" t="n">
        <v>6.5</v>
      </c>
      <c r="I35" s="8" t="inlineStr">
        <is>
          <t>MANUTENCAO</t>
        </is>
      </c>
      <c r="J35" s="8" t="inlineStr">
        <is>
          <t>Consumo</t>
        </is>
      </c>
      <c r="K35" s="9">
        <f>ROUND(tbConsumo[[#This Row],[Quantidade]]*tbConsumo[[#This Row],[Custo_Unitario]],2)</f>
        <v>19.5</v>
      </c>
      <c r="L35" s="11" t="str">
        <f>YEAR(tbConsumo[[#This Row],[Data]])&amp;"-"&amp;TEXT(MONTH(tbConsumo[[#This Row],[Data]]),"00")</f>
        <v>2026-06</v>
      </c>
    </row>
    <row r="36">
      <c r="A36" s="8" t="inlineStr">
        <is>
          <t>MOV0035</t>
        </is>
      </c>
      <c r="B36" s="13" t="n">
        <v>46189</v>
      </c>
      <c r="C36" s="8" t="inlineStr">
        <is>
          <t>MAT007</t>
        </is>
      </c>
      <c r="D36" s="8" t="inlineStr">
        <is>
          <t>Disco de Corte 7 pol</t>
        </is>
      </c>
      <c r="E36" s="8" t="inlineStr">
        <is>
          <t>Corte</t>
        </is>
      </c>
      <c r="F36" s="11" t="n">
        <v>23</v>
      </c>
      <c r="G36" s="8" t="inlineStr">
        <is>
          <t>UN</t>
        </is>
      </c>
      <c r="H36" s="9" t="n">
        <v>12.5</v>
      </c>
      <c r="I36" s="8" t="inlineStr">
        <is>
          <t>MECANICA</t>
        </is>
      </c>
      <c r="J36" s="8" t="inlineStr">
        <is>
          <t>Consumo</t>
        </is>
      </c>
      <c r="K36" s="9">
        <f>ROUND(tbConsumo[[#This Row],[Quantidade]]*tbConsumo[[#This Row],[Custo_Unitario]],2)</f>
        <v>287.5</v>
      </c>
      <c r="L36" s="11" t="str">
        <f>YEAR(tbConsumo[[#This Row],[Data]])&amp;"-"&amp;TEXT(MONTH(tbConsumo[[#This Row],[Data]]),"00")</f>
        <v>2026-06</v>
      </c>
    </row>
    <row r="37">
      <c r="A37" s="8" t="inlineStr">
        <is>
          <t>MOV0036</t>
        </is>
      </c>
      <c r="B37" s="13" t="n">
        <v>46189</v>
      </c>
      <c r="C37" s="8" t="inlineStr">
        <is>
          <t>MAT004</t>
        </is>
      </c>
      <c r="D37" s="8" t="inlineStr">
        <is>
          <t>Bico de Contato MIG 1,0 mm</t>
        </is>
      </c>
      <c r="E37" s="8" t="inlineStr">
        <is>
          <t>Soldagem</t>
        </is>
      </c>
      <c r="F37" s="11" t="n">
        <v>1</v>
      </c>
      <c r="G37" s="8" t="inlineStr">
        <is>
          <t>PCT</t>
        </is>
      </c>
      <c r="H37" s="9" t="n">
        <v>45</v>
      </c>
      <c r="I37" s="8" t="inlineStr">
        <is>
          <t>SOLDAGEM</t>
        </is>
      </c>
      <c r="J37" s="8" t="inlineStr">
        <is>
          <t>Consumo</t>
        </is>
      </c>
      <c r="K37" s="9">
        <f>ROUND(tbConsumo[[#This Row],[Quantidade]]*tbConsumo[[#This Row],[Custo_Unitario]],2)</f>
        <v>45</v>
      </c>
      <c r="L37" s="11" t="str">
        <f>YEAR(tbConsumo[[#This Row],[Data]])&amp;"-"&amp;TEXT(MONTH(tbConsumo[[#This Row],[Data]]),"00")</f>
        <v>2026-06</v>
      </c>
    </row>
    <row r="38">
      <c r="A38" s="8" t="inlineStr">
        <is>
          <t>MOV0037</t>
        </is>
      </c>
      <c r="B38" s="13" t="n">
        <v>46190</v>
      </c>
      <c r="C38" s="8" t="inlineStr">
        <is>
          <t>MAT004</t>
        </is>
      </c>
      <c r="D38" s="8" t="inlineStr">
        <is>
          <t>Bico de Contato MIG 1,0 mm</t>
        </is>
      </c>
      <c r="E38" s="8" t="inlineStr">
        <is>
          <t>Soldagem</t>
        </is>
      </c>
      <c r="F38" s="11" t="n">
        <v>1</v>
      </c>
      <c r="G38" s="8" t="inlineStr">
        <is>
          <t>PCT</t>
        </is>
      </c>
      <c r="H38" s="9" t="n">
        <v>45</v>
      </c>
      <c r="I38" s="8" t="inlineStr">
        <is>
          <t>SOLDAGEM</t>
        </is>
      </c>
      <c r="J38" s="8" t="inlineStr">
        <is>
          <t>Consumo</t>
        </is>
      </c>
      <c r="K38" s="9">
        <f>ROUND(tbConsumo[[#This Row],[Quantidade]]*tbConsumo[[#This Row],[Custo_Unitario]],2)</f>
        <v>45</v>
      </c>
      <c r="L38" s="11" t="str">
        <f>YEAR(tbConsumo[[#This Row],[Data]])&amp;"-"&amp;TEXT(MONTH(tbConsumo[[#This Row],[Data]]),"00")</f>
        <v>2026-06</v>
      </c>
    </row>
    <row r="39">
      <c r="A39" s="8" t="inlineStr">
        <is>
          <t>MOV0038</t>
        </is>
      </c>
      <c r="B39" s="13" t="n">
        <v>46190</v>
      </c>
      <c r="C39" s="8" t="inlineStr">
        <is>
          <t>MAT015</t>
        </is>
      </c>
      <c r="D39" s="8" t="inlineStr">
        <is>
          <t>Luva de Raspa</t>
        </is>
      </c>
      <c r="E39" s="8" t="inlineStr">
        <is>
          <t>EPI</t>
        </is>
      </c>
      <c r="F39" s="11" t="n">
        <v>5</v>
      </c>
      <c r="G39" s="8" t="inlineStr">
        <is>
          <t>PAR</t>
        </is>
      </c>
      <c r="H39" s="9" t="n">
        <v>15</v>
      </c>
      <c r="I39" s="8" t="inlineStr">
        <is>
          <t>MECANICA</t>
        </is>
      </c>
      <c r="J39" s="8" t="inlineStr">
        <is>
          <t>Consumo</t>
        </is>
      </c>
      <c r="K39" s="9">
        <f>ROUND(tbConsumo[[#This Row],[Quantidade]]*tbConsumo[[#This Row],[Custo_Unitario]],2)</f>
        <v>75</v>
      </c>
      <c r="L39" s="11" t="str">
        <f>YEAR(tbConsumo[[#This Row],[Data]])&amp;"-"&amp;TEXT(MONTH(tbConsumo[[#This Row],[Data]]),"00")</f>
        <v>2026-06</v>
      </c>
    </row>
    <row r="40">
      <c r="A40" s="8" t="inlineStr">
        <is>
          <t>MOV0039</t>
        </is>
      </c>
      <c r="B40" s="13" t="n">
        <v>46190</v>
      </c>
      <c r="C40" s="8" t="inlineStr">
        <is>
          <t>MAT001</t>
        </is>
      </c>
      <c r="D40" s="8" t="inlineStr">
        <is>
          <t>Disco de Desbaste 7 pol</t>
        </is>
      </c>
      <c r="E40" s="8" t="inlineStr">
        <is>
          <t>Abrasivos</t>
        </is>
      </c>
      <c r="F40" s="11" t="n">
        <v>7</v>
      </c>
      <c r="G40" s="8" t="inlineStr">
        <is>
          <t>UN</t>
        </is>
      </c>
      <c r="H40" s="9" t="n">
        <v>9.800000000000001</v>
      </c>
      <c r="I40" s="8" t="inlineStr">
        <is>
          <t>SOLDAGEM</t>
        </is>
      </c>
      <c r="J40" s="8" t="inlineStr">
        <is>
          <t>Consumo</t>
        </is>
      </c>
      <c r="K40" s="9">
        <f>ROUND(tbConsumo[[#This Row],[Quantidade]]*tbConsumo[[#This Row],[Custo_Unitario]],2)</f>
        <v>68.6</v>
      </c>
      <c r="L40" s="11" t="str">
        <f>YEAR(tbConsumo[[#This Row],[Data]])&amp;"-"&amp;TEXT(MONTH(tbConsumo[[#This Row],[Data]]),"00")</f>
        <v>2026-06</v>
      </c>
    </row>
    <row r="41">
      <c r="A41" s="8" t="inlineStr">
        <is>
          <t>MOV0040</t>
        </is>
      </c>
      <c r="B41" s="13" t="n">
        <v>46190</v>
      </c>
      <c r="C41" s="8" t="inlineStr">
        <is>
          <t>MAT015</t>
        </is>
      </c>
      <c r="D41" s="8" t="inlineStr">
        <is>
          <t>Luva de Raspa</t>
        </is>
      </c>
      <c r="E41" s="8" t="inlineStr">
        <is>
          <t>EPI</t>
        </is>
      </c>
      <c r="F41" s="11" t="n">
        <v>7</v>
      </c>
      <c r="G41" s="8" t="inlineStr">
        <is>
          <t>PAR</t>
        </is>
      </c>
      <c r="H41" s="9" t="n">
        <v>15</v>
      </c>
      <c r="I41" s="8" t="inlineStr">
        <is>
          <t>FABRICACAO</t>
        </is>
      </c>
      <c r="J41" s="8" t="inlineStr">
        <is>
          <t>Consumo</t>
        </is>
      </c>
      <c r="K41" s="9">
        <f>ROUND(tbConsumo[[#This Row],[Quantidade]]*tbConsumo[[#This Row],[Custo_Unitario]],2)</f>
        <v>105</v>
      </c>
      <c r="L41" s="11" t="str">
        <f>YEAR(tbConsumo[[#This Row],[Data]])&amp;"-"&amp;TEXT(MONTH(tbConsumo[[#This Row],[Data]]),"00")</f>
        <v>2026-06</v>
      </c>
    </row>
    <row r="42">
      <c r="A42" s="8" t="inlineStr">
        <is>
          <t>MOV0041</t>
        </is>
      </c>
      <c r="B42" s="13" t="n">
        <v>46190</v>
      </c>
      <c r="C42" s="8" t="inlineStr">
        <is>
          <t>MAT002</t>
        </is>
      </c>
      <c r="D42" s="8" t="inlineStr">
        <is>
          <t>Disco Flap 4,5 pol Grão 60</t>
        </is>
      </c>
      <c r="E42" s="8" t="inlineStr">
        <is>
          <t>Abrasivos</t>
        </is>
      </c>
      <c r="F42" s="11" t="n">
        <v>26</v>
      </c>
      <c r="G42" s="8" t="inlineStr">
        <is>
          <t>UN</t>
        </is>
      </c>
      <c r="H42" s="9" t="n">
        <v>7.4</v>
      </c>
      <c r="I42" s="8" t="inlineStr">
        <is>
          <t>SOLDAGEM</t>
        </is>
      </c>
      <c r="J42" s="8" t="inlineStr">
        <is>
          <t>Consumo</t>
        </is>
      </c>
      <c r="K42" s="9">
        <f>ROUND(tbConsumo[[#This Row],[Quantidade]]*tbConsumo[[#This Row],[Custo_Unitario]],2)</f>
        <v>192.4</v>
      </c>
      <c r="L42" s="11" t="str">
        <f>YEAR(tbConsumo[[#This Row],[Data]])&amp;"-"&amp;TEXT(MONTH(tbConsumo[[#This Row],[Data]]),"00")</f>
        <v>2026-06</v>
      </c>
    </row>
    <row r="43">
      <c r="A43" s="8" t="inlineStr">
        <is>
          <t>MOV0042</t>
        </is>
      </c>
      <c r="B43" s="13" t="n">
        <v>46190</v>
      </c>
      <c r="C43" s="8" t="inlineStr">
        <is>
          <t>MAT007</t>
        </is>
      </c>
      <c r="D43" s="8" t="inlineStr">
        <is>
          <t>Disco de Corte 7 pol</t>
        </is>
      </c>
      <c r="E43" s="8" t="inlineStr">
        <is>
          <t>Corte</t>
        </is>
      </c>
      <c r="F43" s="11" t="n">
        <v>8</v>
      </c>
      <c r="G43" s="8" t="inlineStr">
        <is>
          <t>UN</t>
        </is>
      </c>
      <c r="H43" s="9" t="n">
        <v>12.5</v>
      </c>
      <c r="I43" s="8" t="inlineStr">
        <is>
          <t>MANUTENCAO</t>
        </is>
      </c>
      <c r="J43" s="8" t="inlineStr">
        <is>
          <t>Consumo</t>
        </is>
      </c>
      <c r="K43" s="9">
        <f>ROUND(tbConsumo[[#This Row],[Quantidade]]*tbConsumo[[#This Row],[Custo_Unitario]],2)</f>
        <v>100</v>
      </c>
      <c r="L43" s="11" t="str">
        <f>YEAR(tbConsumo[[#This Row],[Data]])&amp;"-"&amp;TEXT(MONTH(tbConsumo[[#This Row],[Data]]),"00")</f>
        <v>2026-06</v>
      </c>
    </row>
    <row r="44">
      <c r="A44" s="8" t="inlineStr">
        <is>
          <t>MOV0043</t>
        </is>
      </c>
      <c r="B44" s="13" t="n">
        <v>46191</v>
      </c>
      <c r="C44" s="8" t="inlineStr">
        <is>
          <t>MAT007</t>
        </is>
      </c>
      <c r="D44" s="8" t="inlineStr">
        <is>
          <t>Disco de Corte 7 pol</t>
        </is>
      </c>
      <c r="E44" s="8" t="inlineStr">
        <is>
          <t>Corte</t>
        </is>
      </c>
      <c r="F44" s="11" t="n">
        <v>30</v>
      </c>
      <c r="G44" s="8" t="inlineStr">
        <is>
          <t>UN</t>
        </is>
      </c>
      <c r="H44" s="9" t="n">
        <v>12.5</v>
      </c>
      <c r="I44" s="8" t="inlineStr">
        <is>
          <t>MECANICA</t>
        </is>
      </c>
      <c r="J44" s="8" t="inlineStr">
        <is>
          <t>Consumo</t>
        </is>
      </c>
      <c r="K44" s="9">
        <f>ROUND(tbConsumo[[#This Row],[Quantidade]]*tbConsumo[[#This Row],[Custo_Unitario]],2)</f>
        <v>375</v>
      </c>
      <c r="L44" s="11" t="str">
        <f>YEAR(tbConsumo[[#This Row],[Data]])&amp;"-"&amp;TEXT(MONTH(tbConsumo[[#This Row],[Data]]),"00")</f>
        <v>2026-06</v>
      </c>
    </row>
    <row r="45">
      <c r="A45" s="8" t="inlineStr">
        <is>
          <t>MOV0044</t>
        </is>
      </c>
      <c r="B45" s="13" t="n">
        <v>46191</v>
      </c>
      <c r="C45" s="8" t="inlineStr">
        <is>
          <t>MAT008</t>
        </is>
      </c>
      <c r="D45" s="8" t="inlineStr">
        <is>
          <t>Disco de Corte 4,5 pol</t>
        </is>
      </c>
      <c r="E45" s="8" t="inlineStr">
        <is>
          <t>Corte</t>
        </is>
      </c>
      <c r="F45" s="11" t="n">
        <v>39</v>
      </c>
      <c r="G45" s="8" t="inlineStr">
        <is>
          <t>UN</t>
        </is>
      </c>
      <c r="H45" s="9" t="n">
        <v>5.9</v>
      </c>
      <c r="I45" s="8" t="inlineStr">
        <is>
          <t>FABRICACAO</t>
        </is>
      </c>
      <c r="J45" s="8" t="inlineStr">
        <is>
          <t>Consumo</t>
        </is>
      </c>
      <c r="K45" s="9">
        <f>ROUND(tbConsumo[[#This Row],[Quantidade]]*tbConsumo[[#This Row],[Custo_Unitario]],2)</f>
        <v>230.1</v>
      </c>
      <c r="L45" s="11" t="str">
        <f>YEAR(tbConsumo[[#This Row],[Data]])&amp;"-"&amp;TEXT(MONTH(tbConsumo[[#This Row],[Data]]),"00")</f>
        <v>2026-06</v>
      </c>
    </row>
    <row r="46">
      <c r="A46" s="8" t="inlineStr">
        <is>
          <t>MOV0045</t>
        </is>
      </c>
      <c r="B46" s="13" t="n">
        <v>46192</v>
      </c>
      <c r="C46" s="8" t="inlineStr">
        <is>
          <t>MAT006</t>
        </is>
      </c>
      <c r="D46" s="8" t="inlineStr">
        <is>
          <t>Arame MIG 1,0 mm Bobina</t>
        </is>
      </c>
      <c r="E46" s="8" t="inlineStr">
        <is>
          <t>Soldagem</t>
        </is>
      </c>
      <c r="F46" s="11" t="n">
        <v>1</v>
      </c>
      <c r="G46" s="8" t="inlineStr">
        <is>
          <t>UN</t>
        </is>
      </c>
      <c r="H46" s="9" t="n">
        <v>210</v>
      </c>
      <c r="I46" s="8" t="inlineStr">
        <is>
          <t>SOLDAGEM</t>
        </is>
      </c>
      <c r="J46" s="8" t="inlineStr">
        <is>
          <t>Consumo</t>
        </is>
      </c>
      <c r="K46" s="9">
        <f>ROUND(tbConsumo[[#This Row],[Quantidade]]*tbConsumo[[#This Row],[Custo_Unitario]],2)</f>
        <v>210</v>
      </c>
      <c r="L46" s="11" t="str">
        <f>YEAR(tbConsumo[[#This Row],[Data]])&amp;"-"&amp;TEXT(MONTH(tbConsumo[[#This Row],[Data]]),"00")</f>
        <v>2026-06</v>
      </c>
    </row>
    <row r="47">
      <c r="A47" s="8" t="inlineStr">
        <is>
          <t>MOV0046</t>
        </is>
      </c>
      <c r="B47" s="13" t="n">
        <v>46195</v>
      </c>
      <c r="C47" s="8" t="inlineStr">
        <is>
          <t>MAT016</t>
        </is>
      </c>
      <c r="D47" s="8" t="inlineStr">
        <is>
          <t>Óculos de Proteção Incolor</t>
        </is>
      </c>
      <c r="E47" s="8" t="inlineStr">
        <is>
          <t>EPI</t>
        </is>
      </c>
      <c r="F47" s="11" t="n">
        <v>5</v>
      </c>
      <c r="G47" s="8" t="inlineStr">
        <is>
          <t>UN</t>
        </is>
      </c>
      <c r="H47" s="9" t="n">
        <v>6.5</v>
      </c>
      <c r="I47" s="8" t="inlineStr">
        <is>
          <t>SOLDAGEM</t>
        </is>
      </c>
      <c r="J47" s="8" t="inlineStr">
        <is>
          <t>Consumo</t>
        </is>
      </c>
      <c r="K47" s="9">
        <f>ROUND(tbConsumo[[#This Row],[Quantidade]]*tbConsumo[[#This Row],[Custo_Unitario]],2)</f>
        <v>32.5</v>
      </c>
      <c r="L47" s="11" t="str">
        <f>YEAR(tbConsumo[[#This Row],[Data]])&amp;"-"&amp;TEXT(MONTH(tbConsumo[[#This Row],[Data]]),"00")</f>
        <v>2026-06</v>
      </c>
    </row>
    <row r="48">
      <c r="A48" s="8" t="inlineStr">
        <is>
          <t>MOV0047</t>
        </is>
      </c>
      <c r="B48" s="13" t="n">
        <v>46195</v>
      </c>
      <c r="C48" s="8" t="inlineStr">
        <is>
          <t>MAT013</t>
        </is>
      </c>
      <c r="D48" s="8" t="inlineStr">
        <is>
          <t>Terminal de Compressão 6 mm²</t>
        </is>
      </c>
      <c r="E48" s="8" t="inlineStr">
        <is>
          <t>Elétrica</t>
        </is>
      </c>
      <c r="F48" s="11" t="n">
        <v>2</v>
      </c>
      <c r="G48" s="8" t="inlineStr">
        <is>
          <t>PCT</t>
        </is>
      </c>
      <c r="H48" s="9" t="n">
        <v>28</v>
      </c>
      <c r="I48" s="8" t="inlineStr">
        <is>
          <t>MANUTENCAO</t>
        </is>
      </c>
      <c r="J48" s="8" t="inlineStr">
        <is>
          <t>Consumo</t>
        </is>
      </c>
      <c r="K48" s="9">
        <f>ROUND(tbConsumo[[#This Row],[Quantidade]]*tbConsumo[[#This Row],[Custo_Unitario]],2)</f>
        <v>56</v>
      </c>
      <c r="L48" s="11" t="str">
        <f>YEAR(tbConsumo[[#This Row],[Data]])&amp;"-"&amp;TEXT(MONTH(tbConsumo[[#This Row],[Data]]),"00")</f>
        <v>2026-06</v>
      </c>
    </row>
    <row r="49">
      <c r="A49" s="8" t="inlineStr">
        <is>
          <t>MOV0048</t>
        </is>
      </c>
      <c r="B49" s="13" t="n">
        <v>46196</v>
      </c>
      <c r="C49" s="8" t="inlineStr">
        <is>
          <t>MAT007</t>
        </is>
      </c>
      <c r="D49" s="8" t="inlineStr">
        <is>
          <t>Disco de Corte 7 pol</t>
        </is>
      </c>
      <c r="E49" s="8" t="inlineStr">
        <is>
          <t>Corte</t>
        </is>
      </c>
      <c r="F49" s="11" t="n">
        <v>13</v>
      </c>
      <c r="G49" s="8" t="inlineStr">
        <is>
          <t>UN</t>
        </is>
      </c>
      <c r="H49" s="9" t="n">
        <v>12.5</v>
      </c>
      <c r="I49" s="8" t="inlineStr">
        <is>
          <t>FABRICACAO</t>
        </is>
      </c>
      <c r="J49" s="8" t="inlineStr">
        <is>
          <t>Consumo</t>
        </is>
      </c>
      <c r="K49" s="9">
        <f>ROUND(tbConsumo[[#This Row],[Quantidade]]*tbConsumo[[#This Row],[Custo_Unitario]],2)</f>
        <v>162.5</v>
      </c>
      <c r="L49" s="11" t="str">
        <f>YEAR(tbConsumo[[#This Row],[Data]])&amp;"-"&amp;TEXT(MONTH(tbConsumo[[#This Row],[Data]]),"00")</f>
        <v>2026-06</v>
      </c>
    </row>
    <row r="50">
      <c r="A50" s="8" t="inlineStr">
        <is>
          <t>MOV0049</t>
        </is>
      </c>
      <c r="B50" s="13" t="n">
        <v>46196</v>
      </c>
      <c r="C50" s="8" t="inlineStr">
        <is>
          <t>MAT019</t>
        </is>
      </c>
      <c r="D50" s="8" t="inlineStr">
        <is>
          <t>Trena de Aço 5 m</t>
        </is>
      </c>
      <c r="E50" s="8" t="inlineStr">
        <is>
          <t>Ferramentas</t>
        </is>
      </c>
      <c r="F50" s="11" t="n">
        <v>1</v>
      </c>
      <c r="G50" s="8" t="inlineStr">
        <is>
          <t>UN</t>
        </is>
      </c>
      <c r="H50" s="9" t="n">
        <v>19</v>
      </c>
      <c r="I50" s="8" t="inlineStr">
        <is>
          <t>MANUTENCAO</t>
        </is>
      </c>
      <c r="J50" s="8" t="inlineStr">
        <is>
          <t>Consumo</t>
        </is>
      </c>
      <c r="K50" s="9">
        <f>ROUND(tbConsumo[[#This Row],[Quantidade]]*tbConsumo[[#This Row],[Custo_Unitario]],2)</f>
        <v>19</v>
      </c>
      <c r="L50" s="11" t="str">
        <f>YEAR(tbConsumo[[#This Row],[Data]])&amp;"-"&amp;TEXT(MONTH(tbConsumo[[#This Row],[Data]]),"00")</f>
        <v>2026-06</v>
      </c>
    </row>
    <row r="51">
      <c r="A51" s="8" t="inlineStr">
        <is>
          <t>MOV0050</t>
        </is>
      </c>
      <c r="B51" s="13" t="n">
        <v>46197</v>
      </c>
      <c r="C51" s="8" t="inlineStr">
        <is>
          <t>MAT011</t>
        </is>
      </c>
      <c r="D51" s="8" t="inlineStr">
        <is>
          <t>Cabo Flexível 2,5 mm² Rolo</t>
        </is>
      </c>
      <c r="E51" s="8" t="inlineStr">
        <is>
          <t>Elétrica</t>
        </is>
      </c>
      <c r="F51" s="11" t="n">
        <v>2</v>
      </c>
      <c r="G51" s="8" t="inlineStr">
        <is>
          <t>UN</t>
        </is>
      </c>
      <c r="H51" s="9" t="n">
        <v>285</v>
      </c>
      <c r="I51" s="8" t="inlineStr">
        <is>
          <t>ELETRICA</t>
        </is>
      </c>
      <c r="J51" s="8" t="inlineStr">
        <is>
          <t>Consumo</t>
        </is>
      </c>
      <c r="K51" s="9">
        <f>ROUND(tbConsumo[[#This Row],[Quantidade]]*tbConsumo[[#This Row],[Custo_Unitario]],2)</f>
        <v>570</v>
      </c>
      <c r="L51" s="11" t="str">
        <f>YEAR(tbConsumo[[#This Row],[Data]])&amp;"-"&amp;TEXT(MONTH(tbConsumo[[#This Row],[Data]]),"00")</f>
        <v>2026-06</v>
      </c>
    </row>
    <row r="52">
      <c r="A52" s="8" t="inlineStr">
        <is>
          <t>MOV0051</t>
        </is>
      </c>
      <c r="B52" s="13" t="n">
        <v>46198</v>
      </c>
      <c r="C52" s="8" t="inlineStr">
        <is>
          <t>MAT015</t>
        </is>
      </c>
      <c r="D52" s="8" t="inlineStr">
        <is>
          <t>Luva de Raspa</t>
        </is>
      </c>
      <c r="E52" s="8" t="inlineStr">
        <is>
          <t>EPI</t>
        </is>
      </c>
      <c r="F52" s="11" t="n">
        <v>2</v>
      </c>
      <c r="G52" s="8" t="inlineStr">
        <is>
          <t>PAR</t>
        </is>
      </c>
      <c r="H52" s="9" t="n">
        <v>15</v>
      </c>
      <c r="I52" s="8" t="inlineStr">
        <is>
          <t>ELETRICA</t>
        </is>
      </c>
      <c r="J52" s="8" t="inlineStr">
        <is>
          <t>Consumo</t>
        </is>
      </c>
      <c r="K52" s="9">
        <f>ROUND(tbConsumo[[#This Row],[Quantidade]]*tbConsumo[[#This Row],[Custo_Unitario]],2)</f>
        <v>30</v>
      </c>
      <c r="L52" s="11" t="str">
        <f>YEAR(tbConsumo[[#This Row],[Data]])&amp;"-"&amp;TEXT(MONTH(tbConsumo[[#This Row],[Data]]),"00")</f>
        <v>2026-06</v>
      </c>
    </row>
    <row r="53">
      <c r="A53" s="8" t="inlineStr">
        <is>
          <t>MOV0052</t>
        </is>
      </c>
      <c r="B53" s="13" t="n">
        <v>46198</v>
      </c>
      <c r="C53" s="8" t="inlineStr">
        <is>
          <t>MAT012</t>
        </is>
      </c>
      <c r="D53" s="8" t="inlineStr">
        <is>
          <t>Fita Isolante 19 mm</t>
        </is>
      </c>
      <c r="E53" s="8" t="inlineStr">
        <is>
          <t>Elétrica</t>
        </is>
      </c>
      <c r="F53" s="11" t="n">
        <v>3</v>
      </c>
      <c r="G53" s="8" t="inlineStr">
        <is>
          <t>PCT</t>
        </is>
      </c>
      <c r="H53" s="9" t="n">
        <v>42</v>
      </c>
      <c r="I53" s="8" t="inlineStr">
        <is>
          <t>ELETRICA</t>
        </is>
      </c>
      <c r="J53" s="8" t="inlineStr">
        <is>
          <t>Consumo</t>
        </is>
      </c>
      <c r="K53" s="9">
        <f>ROUND(tbConsumo[[#This Row],[Quantidade]]*tbConsumo[[#This Row],[Custo_Unitario]],2)</f>
        <v>126</v>
      </c>
      <c r="L53" s="11" t="str">
        <f>YEAR(tbConsumo[[#This Row],[Data]])&amp;"-"&amp;TEXT(MONTH(tbConsumo[[#This Row],[Data]]),"00")</f>
        <v>2026-06</v>
      </c>
    </row>
    <row r="54">
      <c r="A54" s="8" t="inlineStr">
        <is>
          <t>MOV0053</t>
        </is>
      </c>
      <c r="B54" s="13" t="n">
        <v>46198</v>
      </c>
      <c r="C54" s="8" t="inlineStr">
        <is>
          <t>MAT008</t>
        </is>
      </c>
      <c r="D54" s="8" t="inlineStr">
        <is>
          <t>Disco de Corte 4,5 pol</t>
        </is>
      </c>
      <c r="E54" s="8" t="inlineStr">
        <is>
          <t>Corte</t>
        </is>
      </c>
      <c r="F54" s="11" t="n">
        <v>28</v>
      </c>
      <c r="G54" s="8" t="inlineStr">
        <is>
          <t>UN</t>
        </is>
      </c>
      <c r="H54" s="9" t="n">
        <v>5.9</v>
      </c>
      <c r="I54" s="8" t="inlineStr">
        <is>
          <t>FABRICACAO</t>
        </is>
      </c>
      <c r="J54" s="8" t="inlineStr">
        <is>
          <t>Consumo</t>
        </is>
      </c>
      <c r="K54" s="9">
        <f>ROUND(tbConsumo[[#This Row],[Quantidade]]*tbConsumo[[#This Row],[Custo_Unitario]],2)</f>
        <v>165.2</v>
      </c>
      <c r="L54" s="11" t="str">
        <f>YEAR(tbConsumo[[#This Row],[Data]])&amp;"-"&amp;TEXT(MONTH(tbConsumo[[#This Row],[Data]]),"00")</f>
        <v>2026-06</v>
      </c>
    </row>
    <row r="55">
      <c r="A55" s="8" t="inlineStr">
        <is>
          <t>MOV0054</t>
        </is>
      </c>
      <c r="B55" s="13" t="n">
        <v>46199</v>
      </c>
      <c r="C55" s="8" t="inlineStr">
        <is>
          <t>MAT007</t>
        </is>
      </c>
      <c r="D55" s="8" t="inlineStr">
        <is>
          <t>Disco de Corte 7 pol</t>
        </is>
      </c>
      <c r="E55" s="8" t="inlineStr">
        <is>
          <t>Corte</t>
        </is>
      </c>
      <c r="F55" s="11" t="n">
        <v>5</v>
      </c>
      <c r="G55" s="8" t="inlineStr">
        <is>
          <t>UN</t>
        </is>
      </c>
      <c r="H55" s="9" t="n">
        <v>12.5</v>
      </c>
      <c r="I55" s="8" t="inlineStr">
        <is>
          <t>MANUTENCAO</t>
        </is>
      </c>
      <c r="J55" s="8" t="inlineStr">
        <is>
          <t>Consumo</t>
        </is>
      </c>
      <c r="K55" s="9">
        <f>ROUND(tbConsumo[[#This Row],[Quantidade]]*tbConsumo[[#This Row],[Custo_Unitario]],2)</f>
        <v>62.5</v>
      </c>
      <c r="L55" s="11" t="str">
        <f>YEAR(tbConsumo[[#This Row],[Data]])&amp;"-"&amp;TEXT(MONTH(tbConsumo[[#This Row],[Data]]),"00")</f>
        <v>2026-06</v>
      </c>
    </row>
    <row r="56">
      <c r="A56" s="8" t="inlineStr">
        <is>
          <t>MOV0055</t>
        </is>
      </c>
      <c r="B56" s="13" t="n">
        <v>46199</v>
      </c>
      <c r="C56" s="8" t="inlineStr">
        <is>
          <t>MAT006</t>
        </is>
      </c>
      <c r="D56" s="8" t="inlineStr">
        <is>
          <t>Arame MIG 1,0 mm Bobina</t>
        </is>
      </c>
      <c r="E56" s="8" t="inlineStr">
        <is>
          <t>Soldagem</t>
        </is>
      </c>
      <c r="F56" s="11" t="n">
        <v>1</v>
      </c>
      <c r="G56" s="8" t="inlineStr">
        <is>
          <t>UN</t>
        </is>
      </c>
      <c r="H56" s="9" t="n">
        <v>210</v>
      </c>
      <c r="I56" s="8" t="inlineStr">
        <is>
          <t>MANUTENCAO</t>
        </is>
      </c>
      <c r="J56" s="8" t="inlineStr">
        <is>
          <t>Consumo</t>
        </is>
      </c>
      <c r="K56" s="9">
        <f>ROUND(tbConsumo[[#This Row],[Quantidade]]*tbConsumo[[#This Row],[Custo_Unitario]],2)</f>
        <v>210</v>
      </c>
      <c r="L56" s="11" t="str">
        <f>YEAR(tbConsumo[[#This Row],[Data]])&amp;"-"&amp;TEXT(MONTH(tbConsumo[[#This Row],[Data]]),"00")</f>
        <v>2026-06</v>
      </c>
    </row>
    <row r="57">
      <c r="A57" s="8" t="inlineStr">
        <is>
          <t>MOV0056</t>
        </is>
      </c>
      <c r="B57" s="13" t="n">
        <v>46199</v>
      </c>
      <c r="C57" s="8" t="inlineStr">
        <is>
          <t>MAT020</t>
        </is>
      </c>
      <c r="D57" s="8" t="inlineStr">
        <is>
          <t>Broca de Aço Rápido 10 mm</t>
        </is>
      </c>
      <c r="E57" s="8" t="inlineStr">
        <is>
          <t>Ferramentas</t>
        </is>
      </c>
      <c r="F57" s="11" t="n">
        <v>1</v>
      </c>
      <c r="G57" s="8" t="inlineStr">
        <is>
          <t>UN</t>
        </is>
      </c>
      <c r="H57" s="9" t="n">
        <v>21</v>
      </c>
      <c r="I57" s="8" t="inlineStr">
        <is>
          <t>MANUTENCAO</t>
        </is>
      </c>
      <c r="J57" s="8" t="inlineStr">
        <is>
          <t>Consumo</t>
        </is>
      </c>
      <c r="K57" s="9">
        <f>ROUND(tbConsumo[[#This Row],[Quantidade]]*tbConsumo[[#This Row],[Custo_Unitario]],2)</f>
        <v>21</v>
      </c>
      <c r="L57" s="11" t="str">
        <f>YEAR(tbConsumo[[#This Row],[Data]])&amp;"-"&amp;TEXT(MONTH(tbConsumo[[#This Row],[Data]]),"00")</f>
        <v>2026-06</v>
      </c>
    </row>
    <row r="58">
      <c r="A58" s="8" t="inlineStr">
        <is>
          <t>MOV0057</t>
        </is>
      </c>
      <c r="B58" s="13" t="n">
        <v>46199</v>
      </c>
      <c r="C58" s="8" t="inlineStr">
        <is>
          <t>MAT015</t>
        </is>
      </c>
      <c r="D58" s="8" t="inlineStr">
        <is>
          <t>Luva de Raspa</t>
        </is>
      </c>
      <c r="E58" s="8" t="inlineStr">
        <is>
          <t>EPI</t>
        </is>
      </c>
      <c r="F58" s="11" t="n">
        <v>11</v>
      </c>
      <c r="G58" s="8" t="inlineStr">
        <is>
          <t>PAR</t>
        </is>
      </c>
      <c r="H58" s="9" t="n">
        <v>15</v>
      </c>
      <c r="I58" s="8" t="inlineStr">
        <is>
          <t>MANUTENCAO</t>
        </is>
      </c>
      <c r="J58" s="8" t="inlineStr">
        <is>
          <t>Consumo</t>
        </is>
      </c>
      <c r="K58" s="9">
        <f>ROUND(tbConsumo[[#This Row],[Quantidade]]*tbConsumo[[#This Row],[Custo_Unitario]],2)</f>
        <v>165</v>
      </c>
      <c r="L58" s="11" t="str">
        <f>YEAR(tbConsumo[[#This Row],[Data]])&amp;"-"&amp;TEXT(MONTH(tbConsumo[[#This Row],[Data]]),"00")</f>
        <v>2026-06</v>
      </c>
    </row>
    <row r="59">
      <c r="A59" s="8" t="inlineStr">
        <is>
          <t>MOV0058</t>
        </is>
      </c>
      <c r="B59" s="13" t="n">
        <v>46199</v>
      </c>
      <c r="C59" s="8" t="inlineStr">
        <is>
          <t>MAT001</t>
        </is>
      </c>
      <c r="D59" s="8" t="inlineStr">
        <is>
          <t>Disco de Desbaste 7 pol</t>
        </is>
      </c>
      <c r="E59" s="8" t="inlineStr">
        <is>
          <t>Abrasivos</t>
        </is>
      </c>
      <c r="F59" s="11" t="n">
        <v>14</v>
      </c>
      <c r="G59" s="8" t="inlineStr">
        <is>
          <t>UN</t>
        </is>
      </c>
      <c r="H59" s="9" t="n">
        <v>9.800000000000001</v>
      </c>
      <c r="I59" s="8" t="inlineStr">
        <is>
          <t>MANUTENCAO</t>
        </is>
      </c>
      <c r="J59" s="8" t="inlineStr">
        <is>
          <t>Consumo</t>
        </is>
      </c>
      <c r="K59" s="9">
        <f>ROUND(tbConsumo[[#This Row],[Quantidade]]*tbConsumo[[#This Row],[Custo_Unitario]],2)</f>
        <v>137.2</v>
      </c>
      <c r="L59" s="11" t="str">
        <f>YEAR(tbConsumo[[#This Row],[Data]])&amp;"-"&amp;TEXT(MONTH(tbConsumo[[#This Row],[Data]]),"00")</f>
        <v>2026-06</v>
      </c>
    </row>
    <row r="60">
      <c r="A60" s="8" t="inlineStr">
        <is>
          <t>MOV0059</t>
        </is>
      </c>
      <c r="B60" s="13" t="n">
        <v>46199</v>
      </c>
      <c r="C60" s="8" t="inlineStr">
        <is>
          <t>MAT002</t>
        </is>
      </c>
      <c r="D60" s="8" t="inlineStr">
        <is>
          <t>Disco Flap 4,5 pol Grão 60</t>
        </is>
      </c>
      <c r="E60" s="8" t="inlineStr">
        <is>
          <t>Abrasivos</t>
        </is>
      </c>
      <c r="F60" s="11" t="n">
        <v>18</v>
      </c>
      <c r="G60" s="8" t="inlineStr">
        <is>
          <t>UN</t>
        </is>
      </c>
      <c r="H60" s="9" t="n">
        <v>7.4</v>
      </c>
      <c r="I60" s="8" t="inlineStr">
        <is>
          <t>SOLDAGEM</t>
        </is>
      </c>
      <c r="J60" s="8" t="inlineStr">
        <is>
          <t>Consumo</t>
        </is>
      </c>
      <c r="K60" s="9">
        <f>ROUND(tbConsumo[[#This Row],[Quantidade]]*tbConsumo[[#This Row],[Custo_Unitario]],2)</f>
        <v>133.2</v>
      </c>
      <c r="L60" s="11" t="str">
        <f>YEAR(tbConsumo[[#This Row],[Data]])&amp;"-"&amp;TEXT(MONTH(tbConsumo[[#This Row],[Data]]),"00")</f>
        <v>2026-06</v>
      </c>
    </row>
    <row r="61">
      <c r="A61" s="8" t="inlineStr">
        <is>
          <t>MOV0060</t>
        </is>
      </c>
      <c r="B61" s="13" t="n">
        <v>46199</v>
      </c>
      <c r="C61" s="8" t="inlineStr">
        <is>
          <t>MAT016</t>
        </is>
      </c>
      <c r="D61" s="8" t="inlineStr">
        <is>
          <t>Óculos de Proteção Incolor</t>
        </is>
      </c>
      <c r="E61" s="8" t="inlineStr">
        <is>
          <t>EPI</t>
        </is>
      </c>
      <c r="F61" s="11" t="n">
        <v>7</v>
      </c>
      <c r="G61" s="8" t="inlineStr">
        <is>
          <t>UN</t>
        </is>
      </c>
      <c r="H61" s="9" t="n">
        <v>6.5</v>
      </c>
      <c r="I61" s="8" t="inlineStr">
        <is>
          <t>MECANICA</t>
        </is>
      </c>
      <c r="J61" s="8" t="inlineStr">
        <is>
          <t>Consumo</t>
        </is>
      </c>
      <c r="K61" s="9">
        <f>ROUND(tbConsumo[[#This Row],[Quantidade]]*tbConsumo[[#This Row],[Custo_Unitario]],2)</f>
        <v>45.5</v>
      </c>
      <c r="L61" s="11" t="str">
        <f>YEAR(tbConsumo[[#This Row],[Data]])&amp;"-"&amp;TEXT(MONTH(tbConsumo[[#This Row],[Data]]),"00")</f>
        <v>2026-06</v>
      </c>
    </row>
    <row r="62">
      <c r="A62" s="8" t="inlineStr">
        <is>
          <t>MOV0061</t>
        </is>
      </c>
      <c r="B62" s="13" t="n">
        <v>46202</v>
      </c>
      <c r="C62" s="8" t="inlineStr">
        <is>
          <t>MAT006</t>
        </is>
      </c>
      <c r="D62" s="8" t="inlineStr">
        <is>
          <t>Arame MIG 1,0 mm Bobina</t>
        </is>
      </c>
      <c r="E62" s="8" t="inlineStr">
        <is>
          <t>Soldagem</t>
        </is>
      </c>
      <c r="F62" s="11" t="n">
        <v>1</v>
      </c>
      <c r="G62" s="8" t="inlineStr">
        <is>
          <t>UN</t>
        </is>
      </c>
      <c r="H62" s="9" t="n">
        <v>210</v>
      </c>
      <c r="I62" s="8" t="inlineStr">
        <is>
          <t>MANUTENCAO</t>
        </is>
      </c>
      <c r="J62" s="8" t="inlineStr">
        <is>
          <t>Consumo</t>
        </is>
      </c>
      <c r="K62" s="9">
        <f>ROUND(tbConsumo[[#This Row],[Quantidade]]*tbConsumo[[#This Row],[Custo_Unitario]],2)</f>
        <v>210</v>
      </c>
      <c r="L62" s="11" t="str">
        <f>YEAR(tbConsumo[[#This Row],[Data]])&amp;"-"&amp;TEXT(MONTH(tbConsumo[[#This Row],[Data]]),"00")</f>
        <v>2026-06</v>
      </c>
    </row>
    <row r="63">
      <c r="A63" s="8" t="inlineStr">
        <is>
          <t>MOV0062</t>
        </is>
      </c>
      <c r="B63" s="13" t="n">
        <v>46202</v>
      </c>
      <c r="C63" s="8" t="inlineStr">
        <is>
          <t>MAT003</t>
        </is>
      </c>
      <c r="D63" s="8" t="inlineStr">
        <is>
          <t>Lixa de Ferro Grão 80</t>
        </is>
      </c>
      <c r="E63" s="8" t="inlineStr">
        <is>
          <t>Abrasivos</t>
        </is>
      </c>
      <c r="F63" s="11" t="n">
        <v>2</v>
      </c>
      <c r="G63" s="8" t="inlineStr">
        <is>
          <t>PCT</t>
        </is>
      </c>
      <c r="H63" s="9" t="n">
        <v>38</v>
      </c>
      <c r="I63" s="8" t="inlineStr">
        <is>
          <t>FABRICACAO</t>
        </is>
      </c>
      <c r="J63" s="8" t="inlineStr">
        <is>
          <t>Consumo</t>
        </is>
      </c>
      <c r="K63" s="9">
        <f>ROUND(tbConsumo[[#This Row],[Quantidade]]*tbConsumo[[#This Row],[Custo_Unitario]],2)</f>
        <v>76</v>
      </c>
      <c r="L63" s="11" t="str">
        <f>YEAR(tbConsumo[[#This Row],[Data]])&amp;"-"&amp;TEXT(MONTH(tbConsumo[[#This Row],[Data]]),"00")</f>
        <v>2026-06</v>
      </c>
    </row>
    <row r="64">
      <c r="A64" s="8" t="inlineStr">
        <is>
          <t>MOV0063</t>
        </is>
      </c>
      <c r="B64" s="13" t="n">
        <v>46202</v>
      </c>
      <c r="C64" s="8" t="inlineStr">
        <is>
          <t>MAT005</t>
        </is>
      </c>
      <c r="D64" s="8" t="inlineStr">
        <is>
          <t>Eletrodo Revestido 2,5 mm</t>
        </is>
      </c>
      <c r="E64" s="8" t="inlineStr">
        <is>
          <t>Soldagem</t>
        </is>
      </c>
      <c r="F64" s="11" t="n">
        <v>1</v>
      </c>
      <c r="G64" s="8" t="inlineStr">
        <is>
          <t>CX</t>
        </is>
      </c>
      <c r="H64" s="9" t="n">
        <v>96</v>
      </c>
      <c r="I64" s="8" t="inlineStr">
        <is>
          <t>MANUTENCAO</t>
        </is>
      </c>
      <c r="J64" s="8" t="inlineStr">
        <is>
          <t>Consumo</t>
        </is>
      </c>
      <c r="K64" s="9">
        <f>ROUND(tbConsumo[[#This Row],[Quantidade]]*tbConsumo[[#This Row],[Custo_Unitario]],2)</f>
        <v>96</v>
      </c>
      <c r="L64" s="11" t="str">
        <f>YEAR(tbConsumo[[#This Row],[Data]])&amp;"-"&amp;TEXT(MONTH(tbConsumo[[#This Row],[Data]]),"00")</f>
        <v>2026-06</v>
      </c>
    </row>
    <row r="65">
      <c r="A65" s="8" t="inlineStr">
        <is>
          <t>MOV0064</t>
        </is>
      </c>
      <c r="B65" s="13" t="n">
        <v>46203</v>
      </c>
      <c r="C65" s="8" t="inlineStr">
        <is>
          <t>MAT015</t>
        </is>
      </c>
      <c r="D65" s="8" t="inlineStr">
        <is>
          <t>Luva de Raspa</t>
        </is>
      </c>
      <c r="E65" s="8" t="inlineStr">
        <is>
          <t>EPI</t>
        </is>
      </c>
      <c r="F65" s="11" t="n">
        <v>2</v>
      </c>
      <c r="G65" s="8" t="inlineStr">
        <is>
          <t>PAR</t>
        </is>
      </c>
      <c r="H65" s="9" t="n">
        <v>15</v>
      </c>
      <c r="I65" s="8" t="inlineStr">
        <is>
          <t>SOLDAGEM</t>
        </is>
      </c>
      <c r="J65" s="8" t="inlineStr">
        <is>
          <t>Consumo</t>
        </is>
      </c>
      <c r="K65" s="9">
        <f>ROUND(tbConsumo[[#This Row],[Quantidade]]*tbConsumo[[#This Row],[Custo_Unitario]],2)</f>
        <v>30</v>
      </c>
      <c r="L65" s="11" t="str">
        <f>YEAR(tbConsumo[[#This Row],[Data]])&amp;"-"&amp;TEXT(MONTH(tbConsumo[[#This Row],[Data]]),"00")</f>
        <v>2026-06</v>
      </c>
    </row>
    <row r="66">
      <c r="A66" s="8" t="inlineStr">
        <is>
          <t>MOV0065</t>
        </is>
      </c>
      <c r="B66" s="13" t="n">
        <v>46203</v>
      </c>
      <c r="C66" s="8" t="inlineStr">
        <is>
          <t>MAT012</t>
        </is>
      </c>
      <c r="D66" s="8" t="inlineStr">
        <is>
          <t>Fita Isolante 19 mm</t>
        </is>
      </c>
      <c r="E66" s="8" t="inlineStr">
        <is>
          <t>Elétrica</t>
        </is>
      </c>
      <c r="F66" s="11" t="n">
        <v>3</v>
      </c>
      <c r="G66" s="8" t="inlineStr">
        <is>
          <t>PCT</t>
        </is>
      </c>
      <c r="H66" s="9" t="n">
        <v>42</v>
      </c>
      <c r="I66" s="8" t="inlineStr">
        <is>
          <t>ELETRICA</t>
        </is>
      </c>
      <c r="J66" s="8" t="inlineStr">
        <is>
          <t>Consumo</t>
        </is>
      </c>
      <c r="K66" s="9">
        <f>ROUND(tbConsumo[[#This Row],[Quantidade]]*tbConsumo[[#This Row],[Custo_Unitario]],2)</f>
        <v>126</v>
      </c>
      <c r="L66" s="11" t="str">
        <f>YEAR(tbConsumo[[#This Row],[Data]])&amp;"-"&amp;TEXT(MONTH(tbConsumo[[#This Row],[Data]]),"00")</f>
        <v>2026-06</v>
      </c>
    </row>
    <row r="67">
      <c r="A67" s="8" t="inlineStr">
        <is>
          <t>MOV0066</t>
        </is>
      </c>
      <c r="B67" s="13" t="n">
        <v>46204</v>
      </c>
      <c r="C67" s="8" t="inlineStr">
        <is>
          <t>MAT008</t>
        </is>
      </c>
      <c r="D67" s="8" t="inlineStr">
        <is>
          <t>Disco de Corte 4,5 pol</t>
        </is>
      </c>
      <c r="E67" s="8" t="inlineStr">
        <is>
          <t>Corte</t>
        </is>
      </c>
      <c r="F67" s="11" t="n">
        <v>48</v>
      </c>
      <c r="G67" s="8" t="inlineStr">
        <is>
          <t>UN</t>
        </is>
      </c>
      <c r="H67" s="9" t="n">
        <v>5.9</v>
      </c>
      <c r="I67" s="8" t="inlineStr">
        <is>
          <t>MECANICA</t>
        </is>
      </c>
      <c r="J67" s="8" t="inlineStr">
        <is>
          <t>Consumo</t>
        </is>
      </c>
      <c r="K67" s="9">
        <f>ROUND(tbConsumo[[#This Row],[Quantidade]]*tbConsumo[[#This Row],[Custo_Unitario]],2)</f>
        <v>283.2</v>
      </c>
      <c r="L67" s="11" t="str">
        <f>YEAR(tbConsumo[[#This Row],[Data]])&amp;"-"&amp;TEXT(MONTH(tbConsumo[[#This Row],[Data]]),"00")</f>
        <v>2026-07</v>
      </c>
    </row>
    <row r="68">
      <c r="A68" s="8" t="inlineStr">
        <is>
          <t>MOV0067</t>
        </is>
      </c>
      <c r="B68" s="13" t="n">
        <v>46204</v>
      </c>
      <c r="C68" s="8" t="inlineStr">
        <is>
          <t>MAT002</t>
        </is>
      </c>
      <c r="D68" s="8" t="inlineStr">
        <is>
          <t>Disco Flap 4,5 pol Grão 60</t>
        </is>
      </c>
      <c r="E68" s="8" t="inlineStr">
        <is>
          <t>Abrasivos</t>
        </is>
      </c>
      <c r="F68" s="11" t="n">
        <v>28</v>
      </c>
      <c r="G68" s="8" t="inlineStr">
        <is>
          <t>UN</t>
        </is>
      </c>
      <c r="H68" s="9" t="n">
        <v>7.4</v>
      </c>
      <c r="I68" s="8" t="inlineStr">
        <is>
          <t>MECANICA</t>
        </is>
      </c>
      <c r="J68" s="8" t="inlineStr">
        <is>
          <t>Consumo</t>
        </is>
      </c>
      <c r="K68" s="9">
        <f>ROUND(tbConsumo[[#This Row],[Quantidade]]*tbConsumo[[#This Row],[Custo_Unitario]],2)</f>
        <v>207.2</v>
      </c>
      <c r="L68" s="11" t="str">
        <f>YEAR(tbConsumo[[#This Row],[Data]])&amp;"-"&amp;TEXT(MONTH(tbConsumo[[#This Row],[Data]]),"00")</f>
        <v>2026-07</v>
      </c>
    </row>
    <row r="69">
      <c r="A69" s="8" t="inlineStr">
        <is>
          <t>MOV0068</t>
        </is>
      </c>
      <c r="B69" s="13" t="n">
        <v>46204</v>
      </c>
      <c r="C69" s="8" t="inlineStr">
        <is>
          <t>MAT011</t>
        </is>
      </c>
      <c r="D69" s="8" t="inlineStr">
        <is>
          <t>Cabo Flexível 2,5 mm² Rolo</t>
        </is>
      </c>
      <c r="E69" s="8" t="inlineStr">
        <is>
          <t>Elétrica</t>
        </is>
      </c>
      <c r="F69" s="11" t="n">
        <v>1</v>
      </c>
      <c r="G69" s="8" t="inlineStr">
        <is>
          <t>UN</t>
        </is>
      </c>
      <c r="H69" s="9" t="n">
        <v>285</v>
      </c>
      <c r="I69" s="8" t="inlineStr">
        <is>
          <t>ELETRICA</t>
        </is>
      </c>
      <c r="J69" s="8" t="inlineStr">
        <is>
          <t>Consumo</t>
        </is>
      </c>
      <c r="K69" s="9">
        <f>ROUND(tbConsumo[[#This Row],[Quantidade]]*tbConsumo[[#This Row],[Custo_Unitario]],2)</f>
        <v>285</v>
      </c>
      <c r="L69" s="11" t="str">
        <f>YEAR(tbConsumo[[#This Row],[Data]])&amp;"-"&amp;TEXT(MONTH(tbConsumo[[#This Row],[Data]]),"00")</f>
        <v>2026-07</v>
      </c>
    </row>
    <row r="70">
      <c r="A70" s="8" t="inlineStr">
        <is>
          <t>MOV0069</t>
        </is>
      </c>
      <c r="B70" s="13" t="n">
        <v>46204</v>
      </c>
      <c r="C70" s="8" t="inlineStr">
        <is>
          <t>MAT002</t>
        </is>
      </c>
      <c r="D70" s="8" t="inlineStr">
        <is>
          <t>Disco Flap 4,5 pol Grão 60</t>
        </is>
      </c>
      <c r="E70" s="8" t="inlineStr">
        <is>
          <t>Abrasivos</t>
        </is>
      </c>
      <c r="F70" s="11" t="n">
        <v>16</v>
      </c>
      <c r="G70" s="8" t="inlineStr">
        <is>
          <t>UN</t>
        </is>
      </c>
      <c r="H70" s="9" t="n">
        <v>7.4</v>
      </c>
      <c r="I70" s="8" t="inlineStr">
        <is>
          <t>SOLDAGEM</t>
        </is>
      </c>
      <c r="J70" s="8" t="inlineStr">
        <is>
          <t>Consumo</t>
        </is>
      </c>
      <c r="K70" s="9">
        <f>ROUND(tbConsumo[[#This Row],[Quantidade]]*tbConsumo[[#This Row],[Custo_Unitario]],2)</f>
        <v>118.4</v>
      </c>
      <c r="L70" s="11" t="str">
        <f>YEAR(tbConsumo[[#This Row],[Data]])&amp;"-"&amp;TEXT(MONTH(tbConsumo[[#This Row],[Data]]),"00")</f>
        <v>2026-07</v>
      </c>
    </row>
    <row r="71">
      <c r="A71" s="8" t="inlineStr">
        <is>
          <t>MOV0070</t>
        </is>
      </c>
      <c r="B71" s="13" t="n">
        <v>46204</v>
      </c>
      <c r="C71" s="8" t="inlineStr">
        <is>
          <t>MAT015</t>
        </is>
      </c>
      <c r="D71" s="8" t="inlineStr">
        <is>
          <t>Luva de Raspa</t>
        </is>
      </c>
      <c r="E71" s="8" t="inlineStr">
        <is>
          <t>EPI</t>
        </is>
      </c>
      <c r="F71" s="11" t="n">
        <v>6</v>
      </c>
      <c r="G71" s="8" t="inlineStr">
        <is>
          <t>PAR</t>
        </is>
      </c>
      <c r="H71" s="9" t="n">
        <v>15</v>
      </c>
      <c r="I71" s="8" t="inlineStr">
        <is>
          <t>ELETRICA</t>
        </is>
      </c>
      <c r="J71" s="8" t="inlineStr">
        <is>
          <t>Consumo</t>
        </is>
      </c>
      <c r="K71" s="9">
        <f>ROUND(tbConsumo[[#This Row],[Quantidade]]*tbConsumo[[#This Row],[Custo_Unitario]],2)</f>
        <v>90</v>
      </c>
      <c r="L71" s="11" t="str">
        <f>YEAR(tbConsumo[[#This Row],[Data]])&amp;"-"&amp;TEXT(MONTH(tbConsumo[[#This Row],[Data]]),"00")</f>
        <v>2026-07</v>
      </c>
    </row>
    <row r="72">
      <c r="A72" s="8" t="inlineStr">
        <is>
          <t>MOV0071</t>
        </is>
      </c>
      <c r="B72" s="13" t="n">
        <v>46204</v>
      </c>
      <c r="C72" s="8" t="inlineStr">
        <is>
          <t>MAT008</t>
        </is>
      </c>
      <c r="D72" s="8" t="inlineStr">
        <is>
          <t>Disco de Corte 4,5 pol</t>
        </is>
      </c>
      <c r="E72" s="8" t="inlineStr">
        <is>
          <t>Corte</t>
        </is>
      </c>
      <c r="F72" s="11" t="n">
        <v>18</v>
      </c>
      <c r="G72" s="8" t="inlineStr">
        <is>
          <t>UN</t>
        </is>
      </c>
      <c r="H72" s="9" t="n">
        <v>5.9</v>
      </c>
      <c r="I72" s="8" t="inlineStr">
        <is>
          <t>MANUTENCAO</t>
        </is>
      </c>
      <c r="J72" s="8" t="inlineStr">
        <is>
          <t>Consumo</t>
        </is>
      </c>
      <c r="K72" s="9">
        <f>ROUND(tbConsumo[[#This Row],[Quantidade]]*tbConsumo[[#This Row],[Custo_Unitario]],2)</f>
        <v>106.2</v>
      </c>
      <c r="L72" s="11" t="str">
        <f>YEAR(tbConsumo[[#This Row],[Data]])&amp;"-"&amp;TEXT(MONTH(tbConsumo[[#This Row],[Data]]),"00")</f>
        <v>2026-07</v>
      </c>
    </row>
    <row r="73">
      <c r="A73" s="8" t="inlineStr">
        <is>
          <t>MOV0072</t>
        </is>
      </c>
      <c r="B73" s="13" t="n">
        <v>46205</v>
      </c>
      <c r="C73" s="8" t="inlineStr">
        <is>
          <t>MAT015</t>
        </is>
      </c>
      <c r="D73" s="8" t="inlineStr">
        <is>
          <t>Luva de Raspa</t>
        </is>
      </c>
      <c r="E73" s="8" t="inlineStr">
        <is>
          <t>EPI</t>
        </is>
      </c>
      <c r="F73" s="11" t="n">
        <v>9</v>
      </c>
      <c r="G73" s="8" t="inlineStr">
        <is>
          <t>PAR</t>
        </is>
      </c>
      <c r="H73" s="9" t="n">
        <v>15</v>
      </c>
      <c r="I73" s="8" t="inlineStr">
        <is>
          <t>FABRICACAO</t>
        </is>
      </c>
      <c r="J73" s="8" t="inlineStr">
        <is>
          <t>Consumo</t>
        </is>
      </c>
      <c r="K73" s="9">
        <f>ROUND(tbConsumo[[#This Row],[Quantidade]]*tbConsumo[[#This Row],[Custo_Unitario]],2)</f>
        <v>135</v>
      </c>
      <c r="L73" s="11" t="str">
        <f>YEAR(tbConsumo[[#This Row],[Data]])&amp;"-"&amp;TEXT(MONTH(tbConsumo[[#This Row],[Data]]),"00")</f>
        <v>2026-07</v>
      </c>
    </row>
    <row r="74">
      <c r="A74" s="8" t="inlineStr">
        <is>
          <t>MOV0073</t>
        </is>
      </c>
      <c r="B74" s="13" t="n">
        <v>46206</v>
      </c>
      <c r="C74" s="8" t="inlineStr">
        <is>
          <t>MAT002</t>
        </is>
      </c>
      <c r="D74" s="8" t="inlineStr">
        <is>
          <t>Disco Flap 4,5 pol Grão 60</t>
        </is>
      </c>
      <c r="E74" s="8" t="inlineStr">
        <is>
          <t>Abrasivos</t>
        </is>
      </c>
      <c r="F74" s="11" t="n">
        <v>5</v>
      </c>
      <c r="G74" s="8" t="inlineStr">
        <is>
          <t>UN</t>
        </is>
      </c>
      <c r="H74" s="9" t="n">
        <v>7.4</v>
      </c>
      <c r="I74" s="8" t="inlineStr">
        <is>
          <t>FABRICACAO</t>
        </is>
      </c>
      <c r="J74" s="8" t="inlineStr">
        <is>
          <t>Consumo</t>
        </is>
      </c>
      <c r="K74" s="9">
        <f>ROUND(tbConsumo[[#This Row],[Quantidade]]*tbConsumo[[#This Row],[Custo_Unitario]],2)</f>
        <v>37</v>
      </c>
      <c r="L74" s="11" t="str">
        <f>YEAR(tbConsumo[[#This Row],[Data]])&amp;"-"&amp;TEXT(MONTH(tbConsumo[[#This Row],[Data]]),"00")</f>
        <v>2026-07</v>
      </c>
    </row>
    <row r="75">
      <c r="A75" s="8" t="inlineStr">
        <is>
          <t>MOV0074</t>
        </is>
      </c>
      <c r="B75" s="13" t="n">
        <v>46206</v>
      </c>
      <c r="C75" s="8" t="inlineStr">
        <is>
          <t>MAT001</t>
        </is>
      </c>
      <c r="D75" s="8" t="inlineStr">
        <is>
          <t>Disco de Desbaste 7 pol</t>
        </is>
      </c>
      <c r="E75" s="8" t="inlineStr">
        <is>
          <t>Abrasivos</t>
        </is>
      </c>
      <c r="F75" s="11" t="n">
        <v>8</v>
      </c>
      <c r="G75" s="8" t="inlineStr">
        <is>
          <t>UN</t>
        </is>
      </c>
      <c r="H75" s="9" t="n">
        <v>9.800000000000001</v>
      </c>
      <c r="I75" s="8" t="inlineStr">
        <is>
          <t>MECANICA</t>
        </is>
      </c>
      <c r="J75" s="8" t="inlineStr">
        <is>
          <t>Consumo</t>
        </is>
      </c>
      <c r="K75" s="9">
        <f>ROUND(tbConsumo[[#This Row],[Quantidade]]*tbConsumo[[#This Row],[Custo_Unitario]],2)</f>
        <v>78.4</v>
      </c>
      <c r="L75" s="11" t="str">
        <f>YEAR(tbConsumo[[#This Row],[Data]])&amp;"-"&amp;TEXT(MONTH(tbConsumo[[#This Row],[Data]]),"00")</f>
        <v>2026-07</v>
      </c>
    </row>
    <row r="76">
      <c r="A76" s="8" t="inlineStr">
        <is>
          <t>MOV0075</t>
        </is>
      </c>
      <c r="B76" s="13" t="n">
        <v>46206</v>
      </c>
      <c r="C76" s="8" t="inlineStr">
        <is>
          <t>MAT001</t>
        </is>
      </c>
      <c r="D76" s="8" t="inlineStr">
        <is>
          <t>Disco de Desbaste 7 pol</t>
        </is>
      </c>
      <c r="E76" s="8" t="inlineStr">
        <is>
          <t>Abrasivos</t>
        </is>
      </c>
      <c r="F76" s="11" t="n">
        <v>19</v>
      </c>
      <c r="G76" s="8" t="inlineStr">
        <is>
          <t>UN</t>
        </is>
      </c>
      <c r="H76" s="9" t="n">
        <v>9.800000000000001</v>
      </c>
      <c r="I76" s="8" t="inlineStr">
        <is>
          <t>MANUTENCAO</t>
        </is>
      </c>
      <c r="J76" s="8" t="inlineStr">
        <is>
          <t>Consumo</t>
        </is>
      </c>
      <c r="K76" s="9">
        <f>ROUND(tbConsumo[[#This Row],[Quantidade]]*tbConsumo[[#This Row],[Custo_Unitario]],2)</f>
        <v>186.2</v>
      </c>
      <c r="L76" s="11" t="str">
        <f>YEAR(tbConsumo[[#This Row],[Data]])&amp;"-"&amp;TEXT(MONTH(tbConsumo[[#This Row],[Data]]),"00")</f>
        <v>2026-07</v>
      </c>
    </row>
    <row r="77">
      <c r="A77" s="8" t="inlineStr">
        <is>
          <t>MOV0076</t>
        </is>
      </c>
      <c r="B77" s="13" t="n">
        <v>46206</v>
      </c>
      <c r="C77" s="8" t="inlineStr">
        <is>
          <t>MAT005</t>
        </is>
      </c>
      <c r="D77" s="8" t="inlineStr">
        <is>
          <t>Eletrodo Revestido 2,5 mm</t>
        </is>
      </c>
      <c r="E77" s="8" t="inlineStr">
        <is>
          <t>Soldagem</t>
        </is>
      </c>
      <c r="F77" s="11" t="n">
        <v>4</v>
      </c>
      <c r="G77" s="8" t="inlineStr">
        <is>
          <t>CX</t>
        </is>
      </c>
      <c r="H77" s="9" t="n">
        <v>96</v>
      </c>
      <c r="I77" s="8" t="inlineStr">
        <is>
          <t>SOLDAGEM</t>
        </is>
      </c>
      <c r="J77" s="8" t="inlineStr">
        <is>
          <t>Consumo</t>
        </is>
      </c>
      <c r="K77" s="9">
        <f>ROUND(tbConsumo[[#This Row],[Quantidade]]*tbConsumo[[#This Row],[Custo_Unitario]],2)</f>
        <v>384</v>
      </c>
      <c r="L77" s="11" t="str">
        <f>YEAR(tbConsumo[[#This Row],[Data]])&amp;"-"&amp;TEXT(MONTH(tbConsumo[[#This Row],[Data]]),"00")</f>
        <v>2026-07</v>
      </c>
    </row>
    <row r="78">
      <c r="A78" s="8" t="inlineStr">
        <is>
          <t>MOV0077</t>
        </is>
      </c>
      <c r="B78" s="13" t="n">
        <v>46206</v>
      </c>
      <c r="C78" s="8" t="inlineStr">
        <is>
          <t>MAT008</t>
        </is>
      </c>
      <c r="D78" s="8" t="inlineStr">
        <is>
          <t>Disco de Corte 4,5 pol</t>
        </is>
      </c>
      <c r="E78" s="8" t="inlineStr">
        <is>
          <t>Corte</t>
        </is>
      </c>
      <c r="F78" s="11" t="n">
        <v>44</v>
      </c>
      <c r="G78" s="8" t="inlineStr">
        <is>
          <t>UN</t>
        </is>
      </c>
      <c r="H78" s="9" t="n">
        <v>5.9</v>
      </c>
      <c r="I78" s="8" t="inlineStr">
        <is>
          <t>FABRICACAO</t>
        </is>
      </c>
      <c r="J78" s="8" t="inlineStr">
        <is>
          <t>Consumo</t>
        </is>
      </c>
      <c r="K78" s="9">
        <f>ROUND(tbConsumo[[#This Row],[Quantidade]]*tbConsumo[[#This Row],[Custo_Unitario]],2)</f>
        <v>259.6</v>
      </c>
      <c r="L78" s="11" t="str">
        <f>YEAR(tbConsumo[[#This Row],[Data]])&amp;"-"&amp;TEXT(MONTH(tbConsumo[[#This Row],[Data]]),"00")</f>
        <v>2026-07</v>
      </c>
    </row>
    <row r="79">
      <c r="A79" s="8" t="inlineStr">
        <is>
          <t>MOV0078</t>
        </is>
      </c>
      <c r="B79" s="13" t="n">
        <v>46206</v>
      </c>
      <c r="C79" s="8" t="inlineStr">
        <is>
          <t>MAT011</t>
        </is>
      </c>
      <c r="D79" s="8" t="inlineStr">
        <is>
          <t>Cabo Flexível 2,5 mm² Rolo</t>
        </is>
      </c>
      <c r="E79" s="8" t="inlineStr">
        <is>
          <t>Elétrica</t>
        </is>
      </c>
      <c r="F79" s="11" t="n">
        <v>2</v>
      </c>
      <c r="G79" s="8" t="inlineStr">
        <is>
          <t>UN</t>
        </is>
      </c>
      <c r="H79" s="9" t="n">
        <v>285</v>
      </c>
      <c r="I79" s="8" t="inlineStr">
        <is>
          <t>ELETRICA</t>
        </is>
      </c>
      <c r="J79" s="8" t="inlineStr">
        <is>
          <t>Consumo</t>
        </is>
      </c>
      <c r="K79" s="9">
        <f>ROUND(tbConsumo[[#This Row],[Quantidade]]*tbConsumo[[#This Row],[Custo_Unitario]],2)</f>
        <v>570</v>
      </c>
      <c r="L79" s="11" t="str">
        <f>YEAR(tbConsumo[[#This Row],[Data]])&amp;"-"&amp;TEXT(MONTH(tbConsumo[[#This Row],[Data]]),"00")</f>
        <v>2026-07</v>
      </c>
    </row>
    <row r="80">
      <c r="A80" s="8" t="inlineStr">
        <is>
          <t>MOV0079</t>
        </is>
      </c>
      <c r="B80" s="13" t="n">
        <v>46206</v>
      </c>
      <c r="C80" s="8" t="inlineStr">
        <is>
          <t>MAT003</t>
        </is>
      </c>
      <c r="D80" s="8" t="inlineStr">
        <is>
          <t>Lixa de Ferro Grão 80</t>
        </is>
      </c>
      <c r="E80" s="8" t="inlineStr">
        <is>
          <t>Abrasivos</t>
        </is>
      </c>
      <c r="F80" s="11" t="n">
        <v>2</v>
      </c>
      <c r="G80" s="8" t="inlineStr">
        <is>
          <t>PCT</t>
        </is>
      </c>
      <c r="H80" s="9" t="n">
        <v>38</v>
      </c>
      <c r="I80" s="8" t="inlineStr">
        <is>
          <t>SOLDAGEM</t>
        </is>
      </c>
      <c r="J80" s="8" t="inlineStr">
        <is>
          <t>Consumo</t>
        </is>
      </c>
      <c r="K80" s="9">
        <f>ROUND(tbConsumo[[#This Row],[Quantidade]]*tbConsumo[[#This Row],[Custo_Unitario]],2)</f>
        <v>76</v>
      </c>
      <c r="L80" s="11" t="str">
        <f>YEAR(tbConsumo[[#This Row],[Data]])&amp;"-"&amp;TEXT(MONTH(tbConsumo[[#This Row],[Data]]),"00")</f>
        <v>2026-07</v>
      </c>
    </row>
    <row r="81">
      <c r="A81" s="8" t="inlineStr">
        <is>
          <t>MOV0080</t>
        </is>
      </c>
      <c r="B81" s="13" t="n">
        <v>46206</v>
      </c>
      <c r="C81" s="8" t="inlineStr">
        <is>
          <t>MAT001</t>
        </is>
      </c>
      <c r="D81" s="8" t="inlineStr">
        <is>
          <t>Disco de Desbaste 7 pol</t>
        </is>
      </c>
      <c r="E81" s="8" t="inlineStr">
        <is>
          <t>Abrasivos</t>
        </is>
      </c>
      <c r="F81" s="11" t="n">
        <v>8</v>
      </c>
      <c r="G81" s="8" t="inlineStr">
        <is>
          <t>UN</t>
        </is>
      </c>
      <c r="H81" s="9" t="n">
        <v>9.800000000000001</v>
      </c>
      <c r="I81" s="8" t="inlineStr">
        <is>
          <t>MECANICA</t>
        </is>
      </c>
      <c r="J81" s="8" t="inlineStr">
        <is>
          <t>Consumo</t>
        </is>
      </c>
      <c r="K81" s="9">
        <f>ROUND(tbConsumo[[#This Row],[Quantidade]]*tbConsumo[[#This Row],[Custo_Unitario]],2)</f>
        <v>78.4</v>
      </c>
      <c r="L81" s="11" t="str">
        <f>YEAR(tbConsumo[[#This Row],[Data]])&amp;"-"&amp;TEXT(MONTH(tbConsumo[[#This Row],[Data]]),"00")</f>
        <v>2026-07</v>
      </c>
    </row>
    <row r="82">
      <c r="A82" s="8" t="inlineStr">
        <is>
          <t>MOV0081</t>
        </is>
      </c>
      <c r="B82" s="13" t="n">
        <v>46207</v>
      </c>
      <c r="C82" s="8" t="inlineStr">
        <is>
          <t>MAT011</t>
        </is>
      </c>
      <c r="D82" s="8" t="inlineStr">
        <is>
          <t>Cabo Flexível 2,5 mm² Rolo</t>
        </is>
      </c>
      <c r="E82" s="8" t="inlineStr">
        <is>
          <t>Elétrica</t>
        </is>
      </c>
      <c r="F82" s="11" t="n">
        <v>1</v>
      </c>
      <c r="G82" s="8" t="inlineStr">
        <is>
          <t>UN</t>
        </is>
      </c>
      <c r="H82" s="9" t="n">
        <v>285</v>
      </c>
      <c r="I82" s="8" t="inlineStr">
        <is>
          <t>MANUTENCAO</t>
        </is>
      </c>
      <c r="J82" s="8" t="inlineStr">
        <is>
          <t>Consumo</t>
        </is>
      </c>
      <c r="K82" s="9">
        <f>ROUND(tbConsumo[[#This Row],[Quantidade]]*tbConsumo[[#This Row],[Custo_Unitario]],2)</f>
        <v>285</v>
      </c>
      <c r="L82" s="11" t="str">
        <f>YEAR(tbConsumo[[#This Row],[Data]])&amp;"-"&amp;TEXT(MONTH(tbConsumo[[#This Row],[Data]]),"00")</f>
        <v>2026-07</v>
      </c>
    </row>
    <row r="83">
      <c r="A83" s="8" t="inlineStr">
        <is>
          <t>MOV0082</t>
        </is>
      </c>
      <c r="B83" s="13" t="n">
        <v>46207</v>
      </c>
      <c r="C83" s="8" t="inlineStr">
        <is>
          <t>MAT002</t>
        </is>
      </c>
      <c r="D83" s="8" t="inlineStr">
        <is>
          <t>Disco Flap 4,5 pol Grão 60</t>
        </is>
      </c>
      <c r="E83" s="8" t="inlineStr">
        <is>
          <t>Abrasivos</t>
        </is>
      </c>
      <c r="F83" s="11" t="n">
        <v>27</v>
      </c>
      <c r="G83" s="8" t="inlineStr">
        <is>
          <t>UN</t>
        </is>
      </c>
      <c r="H83" s="9" t="n">
        <v>7.4</v>
      </c>
      <c r="I83" s="8" t="inlineStr">
        <is>
          <t>MECANICA</t>
        </is>
      </c>
      <c r="J83" s="8" t="inlineStr">
        <is>
          <t>Consumo</t>
        </is>
      </c>
      <c r="K83" s="9">
        <f>ROUND(tbConsumo[[#This Row],[Quantidade]]*tbConsumo[[#This Row],[Custo_Unitario]],2)</f>
        <v>199.8</v>
      </c>
      <c r="L83" s="11" t="str">
        <f>YEAR(tbConsumo[[#This Row],[Data]])&amp;"-"&amp;TEXT(MONTH(tbConsumo[[#This Row],[Data]]),"00")</f>
        <v>2026-07</v>
      </c>
    </row>
    <row r="84">
      <c r="A84" s="8" t="inlineStr">
        <is>
          <t>MOV0083</t>
        </is>
      </c>
      <c r="B84" s="13" t="n">
        <v>46209</v>
      </c>
      <c r="C84" s="8" t="inlineStr">
        <is>
          <t>MAT001</t>
        </is>
      </c>
      <c r="D84" s="8" t="inlineStr">
        <is>
          <t>Disco de Desbaste 7 pol</t>
        </is>
      </c>
      <c r="E84" s="8" t="inlineStr">
        <is>
          <t>Abrasivos</t>
        </is>
      </c>
      <c r="F84" s="11" t="n">
        <v>8</v>
      </c>
      <c r="G84" s="8" t="inlineStr">
        <is>
          <t>UN</t>
        </is>
      </c>
      <c r="H84" s="9" t="n">
        <v>9.800000000000001</v>
      </c>
      <c r="I84" s="8" t="inlineStr">
        <is>
          <t>MECANICA</t>
        </is>
      </c>
      <c r="J84" s="8" t="inlineStr">
        <is>
          <t>Consumo</t>
        </is>
      </c>
      <c r="K84" s="9">
        <f>ROUND(tbConsumo[[#This Row],[Quantidade]]*tbConsumo[[#This Row],[Custo_Unitario]],2)</f>
        <v>78.4</v>
      </c>
      <c r="L84" s="11" t="str">
        <f>YEAR(tbConsumo[[#This Row],[Data]])&amp;"-"&amp;TEXT(MONTH(tbConsumo[[#This Row],[Data]]),"00")</f>
        <v>2026-07</v>
      </c>
    </row>
    <row r="85">
      <c r="A85" s="8" t="inlineStr">
        <is>
          <t>MOV0084</t>
        </is>
      </c>
      <c r="B85" s="13" t="n">
        <v>46209</v>
      </c>
      <c r="C85" s="8" t="inlineStr">
        <is>
          <t>MAT007</t>
        </is>
      </c>
      <c r="D85" s="8" t="inlineStr">
        <is>
          <t>Disco de Corte 7 pol</t>
        </is>
      </c>
      <c r="E85" s="8" t="inlineStr">
        <is>
          <t>Corte</t>
        </is>
      </c>
      <c r="F85" s="11" t="n">
        <v>26</v>
      </c>
      <c r="G85" s="8" t="inlineStr">
        <is>
          <t>UN</t>
        </is>
      </c>
      <c r="H85" s="9" t="n">
        <v>12.5</v>
      </c>
      <c r="I85" s="8" t="inlineStr">
        <is>
          <t>MECANICA</t>
        </is>
      </c>
      <c r="J85" s="8" t="inlineStr">
        <is>
          <t>Consumo</t>
        </is>
      </c>
      <c r="K85" s="9">
        <f>ROUND(tbConsumo[[#This Row],[Quantidade]]*tbConsumo[[#This Row],[Custo_Unitario]],2)</f>
        <v>325</v>
      </c>
      <c r="L85" s="11" t="str">
        <f>YEAR(tbConsumo[[#This Row],[Data]])&amp;"-"&amp;TEXT(MONTH(tbConsumo[[#This Row],[Data]]),"00")</f>
        <v>2026-07</v>
      </c>
    </row>
    <row r="86">
      <c r="A86" s="8" t="inlineStr">
        <is>
          <t>MOV0085</t>
        </is>
      </c>
      <c r="B86" s="13" t="n">
        <v>46210</v>
      </c>
      <c r="C86" s="8" t="inlineStr">
        <is>
          <t>MAT020</t>
        </is>
      </c>
      <c r="D86" s="8" t="inlineStr">
        <is>
          <t>Broca de Aço Rápido 10 mm</t>
        </is>
      </c>
      <c r="E86" s="8" t="inlineStr">
        <is>
          <t>Ferramentas</t>
        </is>
      </c>
      <c r="F86" s="11" t="n">
        <v>1</v>
      </c>
      <c r="G86" s="8" t="inlineStr">
        <is>
          <t>UN</t>
        </is>
      </c>
      <c r="H86" s="9" t="n">
        <v>21</v>
      </c>
      <c r="I86" s="8" t="inlineStr">
        <is>
          <t>MECANICA</t>
        </is>
      </c>
      <c r="J86" s="8" t="inlineStr">
        <is>
          <t>Consumo</t>
        </is>
      </c>
      <c r="K86" s="9">
        <f>ROUND(tbConsumo[[#This Row],[Quantidade]]*tbConsumo[[#This Row],[Custo_Unitario]],2)</f>
        <v>21</v>
      </c>
      <c r="L86" s="11" t="str">
        <f>YEAR(tbConsumo[[#This Row],[Data]])&amp;"-"&amp;TEXT(MONTH(tbConsumo[[#This Row],[Data]]),"00")</f>
        <v>2026-07</v>
      </c>
    </row>
    <row r="87">
      <c r="A87" s="8" t="inlineStr">
        <is>
          <t>MOV0086</t>
        </is>
      </c>
      <c r="B87" s="13" t="n">
        <v>46210</v>
      </c>
      <c r="C87" s="8" t="inlineStr">
        <is>
          <t>MAT003</t>
        </is>
      </c>
      <c r="D87" s="8" t="inlineStr">
        <is>
          <t>Lixa de Ferro Grão 80</t>
        </is>
      </c>
      <c r="E87" s="8" t="inlineStr">
        <is>
          <t>Abrasivos</t>
        </is>
      </c>
      <c r="F87" s="11" t="n">
        <v>1</v>
      </c>
      <c r="G87" s="8" t="inlineStr">
        <is>
          <t>PCT</t>
        </is>
      </c>
      <c r="H87" s="9" t="n">
        <v>38</v>
      </c>
      <c r="I87" s="8" t="inlineStr">
        <is>
          <t>MANUTENCAO</t>
        </is>
      </c>
      <c r="J87" s="8" t="inlineStr">
        <is>
          <t>Consumo</t>
        </is>
      </c>
      <c r="K87" s="9">
        <f>ROUND(tbConsumo[[#This Row],[Quantidade]]*tbConsumo[[#This Row],[Custo_Unitario]],2)</f>
        <v>38</v>
      </c>
      <c r="L87" s="11" t="str">
        <f>YEAR(tbConsumo[[#This Row],[Data]])&amp;"-"&amp;TEXT(MONTH(tbConsumo[[#This Row],[Data]]),"00")</f>
        <v>2026-07</v>
      </c>
    </row>
    <row r="88">
      <c r="A88" s="8" t="inlineStr">
        <is>
          <t>MOV0087</t>
        </is>
      </c>
      <c r="B88" s="13" t="n">
        <v>46211</v>
      </c>
      <c r="C88" s="8" t="inlineStr">
        <is>
          <t>MAT020</t>
        </is>
      </c>
      <c r="D88" s="8" t="inlineStr">
        <is>
          <t>Broca de Aço Rápido 10 mm</t>
        </is>
      </c>
      <c r="E88" s="8" t="inlineStr">
        <is>
          <t>Ferramentas</t>
        </is>
      </c>
      <c r="F88" s="11" t="n">
        <v>4</v>
      </c>
      <c r="G88" s="8" t="inlineStr">
        <is>
          <t>UN</t>
        </is>
      </c>
      <c r="H88" s="9" t="n">
        <v>21</v>
      </c>
      <c r="I88" s="8" t="inlineStr">
        <is>
          <t>MANUTENCAO</t>
        </is>
      </c>
      <c r="J88" s="8" t="inlineStr">
        <is>
          <t>Consumo</t>
        </is>
      </c>
      <c r="K88" s="9">
        <f>ROUND(tbConsumo[[#This Row],[Quantidade]]*tbConsumo[[#This Row],[Custo_Unitario]],2)</f>
        <v>84</v>
      </c>
      <c r="L88" s="11" t="str">
        <f>YEAR(tbConsumo[[#This Row],[Data]])&amp;"-"&amp;TEXT(MONTH(tbConsumo[[#This Row],[Data]]),"00")</f>
        <v>2026-07</v>
      </c>
    </row>
    <row r="89">
      <c r="A89" s="8" t="inlineStr">
        <is>
          <t>MOV0088</t>
        </is>
      </c>
      <c r="B89" s="13" t="n">
        <v>46212</v>
      </c>
      <c r="C89" s="8" t="inlineStr">
        <is>
          <t>MAT004</t>
        </is>
      </c>
      <c r="D89" s="8" t="inlineStr">
        <is>
          <t>Bico de Contato MIG 1,0 mm</t>
        </is>
      </c>
      <c r="E89" s="8" t="inlineStr">
        <is>
          <t>Soldagem</t>
        </is>
      </c>
      <c r="F89" s="11" t="n">
        <v>3</v>
      </c>
      <c r="G89" s="8" t="inlineStr">
        <is>
          <t>PCT</t>
        </is>
      </c>
      <c r="H89" s="9" t="n">
        <v>45</v>
      </c>
      <c r="I89" s="8" t="inlineStr">
        <is>
          <t>FABRICACAO</t>
        </is>
      </c>
      <c r="J89" s="8" t="inlineStr">
        <is>
          <t>Consumo</t>
        </is>
      </c>
      <c r="K89" s="9">
        <f>ROUND(tbConsumo[[#This Row],[Quantidade]]*tbConsumo[[#This Row],[Custo_Unitario]],2)</f>
        <v>135</v>
      </c>
      <c r="L89" s="11" t="str">
        <f>YEAR(tbConsumo[[#This Row],[Data]])&amp;"-"&amp;TEXT(MONTH(tbConsumo[[#This Row],[Data]]),"00")</f>
        <v>2026-07</v>
      </c>
    </row>
    <row r="90">
      <c r="A90" s="8" t="inlineStr">
        <is>
          <t>MOV0089</t>
        </is>
      </c>
      <c r="B90" s="13" t="n">
        <v>46212</v>
      </c>
      <c r="C90" s="8" t="inlineStr">
        <is>
          <t>MAT004</t>
        </is>
      </c>
      <c r="D90" s="8" t="inlineStr">
        <is>
          <t>Bico de Contato MIG 1,0 mm</t>
        </is>
      </c>
      <c r="E90" s="8" t="inlineStr">
        <is>
          <t>Soldagem</t>
        </is>
      </c>
      <c r="F90" s="11" t="n">
        <v>2</v>
      </c>
      <c r="G90" s="8" t="inlineStr">
        <is>
          <t>PCT</t>
        </is>
      </c>
      <c r="H90" s="9" t="n">
        <v>45</v>
      </c>
      <c r="I90" s="8" t="inlineStr">
        <is>
          <t>FABRICACAO</t>
        </is>
      </c>
      <c r="J90" s="8" t="inlineStr">
        <is>
          <t>Consumo</t>
        </is>
      </c>
      <c r="K90" s="9">
        <f>ROUND(tbConsumo[[#This Row],[Quantidade]]*tbConsumo[[#This Row],[Custo_Unitario]],2)</f>
        <v>90</v>
      </c>
      <c r="L90" s="11" t="str">
        <f>YEAR(tbConsumo[[#This Row],[Data]])&amp;"-"&amp;TEXT(MONTH(tbConsumo[[#This Row],[Data]]),"00")</f>
        <v>2026-07</v>
      </c>
    </row>
    <row r="91">
      <c r="A91" s="8" t="inlineStr">
        <is>
          <t>MOV0090</t>
        </is>
      </c>
      <c r="B91" s="13" t="n">
        <v>46212</v>
      </c>
      <c r="C91" s="8" t="inlineStr">
        <is>
          <t>MAT007</t>
        </is>
      </c>
      <c r="D91" s="8" t="inlineStr">
        <is>
          <t>Disco de Corte 7 pol</t>
        </is>
      </c>
      <c r="E91" s="8" t="inlineStr">
        <is>
          <t>Corte</t>
        </is>
      </c>
      <c r="F91" s="11" t="n">
        <v>20</v>
      </c>
      <c r="G91" s="8" t="inlineStr">
        <is>
          <t>UN</t>
        </is>
      </c>
      <c r="H91" s="9" t="n">
        <v>12.5</v>
      </c>
      <c r="I91" s="8" t="inlineStr">
        <is>
          <t>MANUTENCAO</t>
        </is>
      </c>
      <c r="J91" s="8" t="inlineStr">
        <is>
          <t>Consumo</t>
        </is>
      </c>
      <c r="K91" s="9">
        <f>ROUND(tbConsumo[[#This Row],[Quantidade]]*tbConsumo[[#This Row],[Custo_Unitario]],2)</f>
        <v>250</v>
      </c>
      <c r="L91" s="11" t="str">
        <f>YEAR(tbConsumo[[#This Row],[Data]])&amp;"-"&amp;TEXT(MONTH(tbConsumo[[#This Row],[Data]]),"00")</f>
        <v>2026-07</v>
      </c>
    </row>
    <row r="92">
      <c r="A92" s="8" t="inlineStr">
        <is>
          <t>MOV0091</t>
        </is>
      </c>
      <c r="B92" s="13" t="n">
        <v>46212</v>
      </c>
      <c r="C92" s="8" t="inlineStr">
        <is>
          <t>MAT004</t>
        </is>
      </c>
      <c r="D92" s="8" t="inlineStr">
        <is>
          <t>Bico de Contato MIG 1,0 mm</t>
        </is>
      </c>
      <c r="E92" s="8" t="inlineStr">
        <is>
          <t>Soldagem</t>
        </is>
      </c>
      <c r="F92" s="11" t="n">
        <v>3</v>
      </c>
      <c r="G92" s="8" t="inlineStr">
        <is>
          <t>PCT</t>
        </is>
      </c>
      <c r="H92" s="9" t="n">
        <v>45</v>
      </c>
      <c r="I92" s="8" t="inlineStr">
        <is>
          <t>SOLDAGEM</t>
        </is>
      </c>
      <c r="J92" s="8" t="inlineStr">
        <is>
          <t>Consumo</t>
        </is>
      </c>
      <c r="K92" s="9">
        <f>ROUND(tbConsumo[[#This Row],[Quantidade]]*tbConsumo[[#This Row],[Custo_Unitario]],2)</f>
        <v>135</v>
      </c>
      <c r="L92" s="11" t="str">
        <f>YEAR(tbConsumo[[#This Row],[Data]])&amp;"-"&amp;TEXT(MONTH(tbConsumo[[#This Row],[Data]]),"00")</f>
        <v>2026-07</v>
      </c>
    </row>
    <row r="93">
      <c r="A93" s="8" t="inlineStr">
        <is>
          <t>MOV0092</t>
        </is>
      </c>
      <c r="B93" s="13" t="n">
        <v>46212</v>
      </c>
      <c r="C93" s="8" t="inlineStr">
        <is>
          <t>MAT005</t>
        </is>
      </c>
      <c r="D93" s="8" t="inlineStr">
        <is>
          <t>Eletrodo Revestido 2,5 mm</t>
        </is>
      </c>
      <c r="E93" s="8" t="inlineStr">
        <is>
          <t>Soldagem</t>
        </is>
      </c>
      <c r="F93" s="11" t="n">
        <v>1</v>
      </c>
      <c r="G93" s="8" t="inlineStr">
        <is>
          <t>CX</t>
        </is>
      </c>
      <c r="H93" s="9" t="n">
        <v>96</v>
      </c>
      <c r="I93" s="8" t="inlineStr">
        <is>
          <t>SOLDAGEM</t>
        </is>
      </c>
      <c r="J93" s="8" t="inlineStr">
        <is>
          <t>Consumo</t>
        </is>
      </c>
      <c r="K93" s="9">
        <f>ROUND(tbConsumo[[#This Row],[Quantidade]]*tbConsumo[[#This Row],[Custo_Unitario]],2)</f>
        <v>96</v>
      </c>
      <c r="L93" s="11" t="str">
        <f>YEAR(tbConsumo[[#This Row],[Data]])&amp;"-"&amp;TEXT(MONTH(tbConsumo[[#This Row],[Data]]),"00")</f>
        <v>2026-07</v>
      </c>
    </row>
    <row r="94">
      <c r="A94" s="8" t="inlineStr">
        <is>
          <t>MOV0093</t>
        </is>
      </c>
      <c r="B94" s="13" t="n">
        <v>46213</v>
      </c>
      <c r="C94" s="8" t="inlineStr">
        <is>
          <t>MAT015</t>
        </is>
      </c>
      <c r="D94" s="8" t="inlineStr">
        <is>
          <t>Luva de Raspa</t>
        </is>
      </c>
      <c r="E94" s="8" t="inlineStr">
        <is>
          <t>EPI</t>
        </is>
      </c>
      <c r="F94" s="11" t="n">
        <v>2</v>
      </c>
      <c r="G94" s="8" t="inlineStr">
        <is>
          <t>PAR</t>
        </is>
      </c>
      <c r="H94" s="9" t="n">
        <v>15</v>
      </c>
      <c r="I94" s="8" t="inlineStr">
        <is>
          <t>MECANICA</t>
        </is>
      </c>
      <c r="J94" s="8" t="inlineStr">
        <is>
          <t>Consumo</t>
        </is>
      </c>
      <c r="K94" s="9">
        <f>ROUND(tbConsumo[[#This Row],[Quantidade]]*tbConsumo[[#This Row],[Custo_Unitario]],2)</f>
        <v>30</v>
      </c>
      <c r="L94" s="11" t="str">
        <f>YEAR(tbConsumo[[#This Row],[Data]])&amp;"-"&amp;TEXT(MONTH(tbConsumo[[#This Row],[Data]]),"00")</f>
        <v>2026-07</v>
      </c>
    </row>
    <row r="95">
      <c r="A95" s="8" t="inlineStr">
        <is>
          <t>MOV0094</t>
        </is>
      </c>
      <c r="B95" s="13" t="n">
        <v>46213</v>
      </c>
      <c r="C95" s="8" t="inlineStr">
        <is>
          <t>MAT008</t>
        </is>
      </c>
      <c r="D95" s="8" t="inlineStr">
        <is>
          <t>Disco de Corte 4,5 pol</t>
        </is>
      </c>
      <c r="E95" s="8" t="inlineStr">
        <is>
          <t>Corte</t>
        </is>
      </c>
      <c r="F95" s="11" t="n">
        <v>15</v>
      </c>
      <c r="G95" s="8" t="inlineStr">
        <is>
          <t>UN</t>
        </is>
      </c>
      <c r="H95" s="9" t="n">
        <v>5.9</v>
      </c>
      <c r="I95" s="8" t="inlineStr">
        <is>
          <t>MANUTENCAO</t>
        </is>
      </c>
      <c r="J95" s="8" t="inlineStr">
        <is>
          <t>Consumo</t>
        </is>
      </c>
      <c r="K95" s="9">
        <f>ROUND(tbConsumo[[#This Row],[Quantidade]]*tbConsumo[[#This Row],[Custo_Unitario]],2)</f>
        <v>88.5</v>
      </c>
      <c r="L95" s="11" t="str">
        <f>YEAR(tbConsumo[[#This Row],[Data]])&amp;"-"&amp;TEXT(MONTH(tbConsumo[[#This Row],[Data]]),"00")</f>
        <v>2026-07</v>
      </c>
    </row>
    <row r="96">
      <c r="A96" s="8" t="inlineStr">
        <is>
          <t>MOV0095</t>
        </is>
      </c>
      <c r="B96" s="13" t="n">
        <v>46213</v>
      </c>
      <c r="C96" s="8" t="inlineStr">
        <is>
          <t>MAT005</t>
        </is>
      </c>
      <c r="D96" s="8" t="inlineStr">
        <is>
          <t>Eletrodo Revestido 2,5 mm</t>
        </is>
      </c>
      <c r="E96" s="8" t="inlineStr">
        <is>
          <t>Soldagem</t>
        </is>
      </c>
      <c r="F96" s="11" t="n">
        <v>2</v>
      </c>
      <c r="G96" s="8" t="inlineStr">
        <is>
          <t>CX</t>
        </is>
      </c>
      <c r="H96" s="9" t="n">
        <v>96</v>
      </c>
      <c r="I96" s="8" t="inlineStr">
        <is>
          <t>MANUTENCAO</t>
        </is>
      </c>
      <c r="J96" s="8" t="inlineStr">
        <is>
          <t>Consumo</t>
        </is>
      </c>
      <c r="K96" s="9">
        <f>ROUND(tbConsumo[[#This Row],[Quantidade]]*tbConsumo[[#This Row],[Custo_Unitario]],2)</f>
        <v>192</v>
      </c>
      <c r="L96" s="11" t="str">
        <f>YEAR(tbConsumo[[#This Row],[Data]])&amp;"-"&amp;TEXT(MONTH(tbConsumo[[#This Row],[Data]]),"00")</f>
        <v>2026-07</v>
      </c>
    </row>
    <row r="97">
      <c r="A97" s="8" t="inlineStr">
        <is>
          <t>MOV0096</t>
        </is>
      </c>
      <c r="B97" s="13" t="n">
        <v>46216</v>
      </c>
      <c r="C97" s="8" t="inlineStr">
        <is>
          <t>MAT013</t>
        </is>
      </c>
      <c r="D97" s="8" t="inlineStr">
        <is>
          <t>Terminal de Compressão 6 mm²</t>
        </is>
      </c>
      <c r="E97" s="8" t="inlineStr">
        <is>
          <t>Elétrica</t>
        </is>
      </c>
      <c r="F97" s="11" t="n">
        <v>1</v>
      </c>
      <c r="G97" s="8" t="inlineStr">
        <is>
          <t>PCT</t>
        </is>
      </c>
      <c r="H97" s="9" t="n">
        <v>28</v>
      </c>
      <c r="I97" s="8" t="inlineStr">
        <is>
          <t>MANUTENCAO</t>
        </is>
      </c>
      <c r="J97" s="8" t="inlineStr">
        <is>
          <t>Consumo</t>
        </is>
      </c>
      <c r="K97" s="9">
        <f>ROUND(tbConsumo[[#This Row],[Quantidade]]*tbConsumo[[#This Row],[Custo_Unitario]],2)</f>
        <v>28</v>
      </c>
      <c r="L97" s="11" t="str">
        <f>YEAR(tbConsumo[[#This Row],[Data]])&amp;"-"&amp;TEXT(MONTH(tbConsumo[[#This Row],[Data]]),"00")</f>
        <v>2026-07</v>
      </c>
    </row>
    <row r="98">
      <c r="A98" s="8" t="inlineStr">
        <is>
          <t>MOV0097</t>
        </is>
      </c>
      <c r="B98" s="13" t="n">
        <v>46216</v>
      </c>
      <c r="C98" s="8" t="inlineStr">
        <is>
          <t>MAT015</t>
        </is>
      </c>
      <c r="D98" s="8" t="inlineStr">
        <is>
          <t>Luva de Raspa</t>
        </is>
      </c>
      <c r="E98" s="8" t="inlineStr">
        <is>
          <t>EPI</t>
        </is>
      </c>
      <c r="F98" s="11" t="n">
        <v>7</v>
      </c>
      <c r="G98" s="8" t="inlineStr">
        <is>
          <t>PAR</t>
        </is>
      </c>
      <c r="H98" s="9" t="n">
        <v>15</v>
      </c>
      <c r="I98" s="8" t="inlineStr">
        <is>
          <t>SOLDAGEM</t>
        </is>
      </c>
      <c r="J98" s="8" t="inlineStr">
        <is>
          <t>Consumo</t>
        </is>
      </c>
      <c r="K98" s="9">
        <f>ROUND(tbConsumo[[#This Row],[Quantidade]]*tbConsumo[[#This Row],[Custo_Unitario]],2)</f>
        <v>105</v>
      </c>
      <c r="L98" s="11" t="str">
        <f>YEAR(tbConsumo[[#This Row],[Data]])&amp;"-"&amp;TEXT(MONTH(tbConsumo[[#This Row],[Data]]),"00")</f>
        <v>2026-07</v>
      </c>
    </row>
    <row r="99">
      <c r="A99" s="8" t="inlineStr">
        <is>
          <t>MOV0098</t>
        </is>
      </c>
      <c r="B99" s="13" t="n">
        <v>46217</v>
      </c>
      <c r="C99" s="8" t="inlineStr">
        <is>
          <t>MAT003</t>
        </is>
      </c>
      <c r="D99" s="8" t="inlineStr">
        <is>
          <t>Lixa de Ferro Grão 80</t>
        </is>
      </c>
      <c r="E99" s="8" t="inlineStr">
        <is>
          <t>Abrasivos</t>
        </is>
      </c>
      <c r="F99" s="11" t="n">
        <v>3</v>
      </c>
      <c r="G99" s="8" t="inlineStr">
        <is>
          <t>PCT</t>
        </is>
      </c>
      <c r="H99" s="9" t="n">
        <v>38</v>
      </c>
      <c r="I99" s="8" t="inlineStr">
        <is>
          <t>SOLDAGEM</t>
        </is>
      </c>
      <c r="J99" s="8" t="inlineStr">
        <is>
          <t>Consumo</t>
        </is>
      </c>
      <c r="K99" s="9">
        <f>ROUND(tbConsumo[[#This Row],[Quantidade]]*tbConsumo[[#This Row],[Custo_Unitario]],2)</f>
        <v>114</v>
      </c>
      <c r="L99" s="11" t="str">
        <f>YEAR(tbConsumo[[#This Row],[Data]])&amp;"-"&amp;TEXT(MONTH(tbConsumo[[#This Row],[Data]]),"00")</f>
        <v>2026-07</v>
      </c>
    </row>
    <row r="100">
      <c r="A100" s="8" t="inlineStr">
        <is>
          <t>MOV0099</t>
        </is>
      </c>
      <c r="B100" s="13" t="n">
        <v>46218</v>
      </c>
      <c r="C100" s="8" t="inlineStr">
        <is>
          <t>MAT016</t>
        </is>
      </c>
      <c r="D100" s="8" t="inlineStr">
        <is>
          <t>Óculos de Proteção Incolor</t>
        </is>
      </c>
      <c r="E100" s="8" t="inlineStr">
        <is>
          <t>EPI</t>
        </is>
      </c>
      <c r="F100" s="11" t="n">
        <v>6</v>
      </c>
      <c r="G100" s="8" t="inlineStr">
        <is>
          <t>UN</t>
        </is>
      </c>
      <c r="H100" s="9" t="n">
        <v>6.5</v>
      </c>
      <c r="I100" s="8" t="inlineStr">
        <is>
          <t>MANUTENCAO</t>
        </is>
      </c>
      <c r="J100" s="8" t="inlineStr">
        <is>
          <t>Consumo</t>
        </is>
      </c>
      <c r="K100" s="9">
        <f>ROUND(tbConsumo[[#This Row],[Quantidade]]*tbConsumo[[#This Row],[Custo_Unitario]],2)</f>
        <v>39</v>
      </c>
      <c r="L100" s="11" t="str">
        <f>YEAR(tbConsumo[[#This Row],[Data]])&amp;"-"&amp;TEXT(MONTH(tbConsumo[[#This Row],[Data]]),"00")</f>
        <v>2026-07</v>
      </c>
    </row>
    <row r="101">
      <c r="A101" s="8" t="inlineStr">
        <is>
          <t>MOV0100</t>
        </is>
      </c>
      <c r="B101" s="13" t="n">
        <v>46218</v>
      </c>
      <c r="C101" s="8" t="inlineStr">
        <is>
          <t>MAT003</t>
        </is>
      </c>
      <c r="D101" s="8" t="inlineStr">
        <is>
          <t>Lixa de Ferro Grão 80</t>
        </is>
      </c>
      <c r="E101" s="8" t="inlineStr">
        <is>
          <t>Abrasivos</t>
        </is>
      </c>
      <c r="F101" s="11" t="n">
        <v>3</v>
      </c>
      <c r="G101" s="8" t="inlineStr">
        <is>
          <t>PCT</t>
        </is>
      </c>
      <c r="H101" s="9" t="n">
        <v>38</v>
      </c>
      <c r="I101" s="8" t="inlineStr">
        <is>
          <t>SOLDAGEM</t>
        </is>
      </c>
      <c r="J101" s="8" t="inlineStr">
        <is>
          <t>Consumo</t>
        </is>
      </c>
      <c r="K101" s="9">
        <f>ROUND(tbConsumo[[#This Row],[Quantidade]]*tbConsumo[[#This Row],[Custo_Unitario]],2)</f>
        <v>114</v>
      </c>
      <c r="L101" s="11" t="str">
        <f>YEAR(tbConsumo[[#This Row],[Data]])&amp;"-"&amp;TEXT(MONTH(tbConsumo[[#This Row],[Data]]),"00")</f>
        <v>2026-07</v>
      </c>
    </row>
    <row r="102">
      <c r="A102" s="8" t="inlineStr">
        <is>
          <t>MOV0101</t>
        </is>
      </c>
      <c r="B102" s="13" t="n">
        <v>46219</v>
      </c>
      <c r="C102" s="8" t="inlineStr">
        <is>
          <t>MAT008</t>
        </is>
      </c>
      <c r="D102" s="8" t="inlineStr">
        <is>
          <t>Disco de Corte 4,5 pol</t>
        </is>
      </c>
      <c r="E102" s="8" t="inlineStr">
        <is>
          <t>Corte</t>
        </is>
      </c>
      <c r="F102" s="11" t="n">
        <v>33</v>
      </c>
      <c r="G102" s="8" t="inlineStr">
        <is>
          <t>UN</t>
        </is>
      </c>
      <c r="H102" s="9" t="n">
        <v>5.9</v>
      </c>
      <c r="I102" s="8" t="inlineStr">
        <is>
          <t>FABRICACAO</t>
        </is>
      </c>
      <c r="J102" s="8" t="inlineStr">
        <is>
          <t>Consumo</t>
        </is>
      </c>
      <c r="K102" s="9">
        <f>ROUND(tbConsumo[[#This Row],[Quantidade]]*tbConsumo[[#This Row],[Custo_Unitario]],2)</f>
        <v>194.7</v>
      </c>
      <c r="L102" s="11" t="str">
        <f>YEAR(tbConsumo[[#This Row],[Data]])&amp;"-"&amp;TEXT(MONTH(tbConsumo[[#This Row],[Data]]),"00")</f>
        <v>2026-07</v>
      </c>
    </row>
    <row r="103">
      <c r="A103" s="8" t="inlineStr">
        <is>
          <t>MOV0102</t>
        </is>
      </c>
      <c r="B103" s="13" t="n">
        <v>46219</v>
      </c>
      <c r="C103" s="8" t="inlineStr">
        <is>
          <t>MAT008</t>
        </is>
      </c>
      <c r="D103" s="8" t="inlineStr">
        <is>
          <t>Disco de Corte 4,5 pol</t>
        </is>
      </c>
      <c r="E103" s="8" t="inlineStr">
        <is>
          <t>Corte</t>
        </is>
      </c>
      <c r="F103" s="11" t="n">
        <v>16</v>
      </c>
      <c r="G103" s="8" t="inlineStr">
        <is>
          <t>UN</t>
        </is>
      </c>
      <c r="H103" s="9" t="n">
        <v>5.9</v>
      </c>
      <c r="I103" s="8" t="inlineStr">
        <is>
          <t>SOLDAGEM</t>
        </is>
      </c>
      <c r="J103" s="8" t="inlineStr">
        <is>
          <t>Consumo</t>
        </is>
      </c>
      <c r="K103" s="9">
        <f>ROUND(tbConsumo[[#This Row],[Quantidade]]*tbConsumo[[#This Row],[Custo_Unitario]],2)</f>
        <v>94.4</v>
      </c>
      <c r="L103" s="11" t="str">
        <f>YEAR(tbConsumo[[#This Row],[Data]])&amp;"-"&amp;TEXT(MONTH(tbConsumo[[#This Row],[Data]]),"00")</f>
        <v>2026-07</v>
      </c>
    </row>
    <row r="104">
      <c r="A104" s="8" t="inlineStr">
        <is>
          <t>MOV0103</t>
        </is>
      </c>
      <c r="B104" s="13" t="n">
        <v>46219</v>
      </c>
      <c r="C104" s="8" t="inlineStr">
        <is>
          <t>MAT015</t>
        </is>
      </c>
      <c r="D104" s="8" t="inlineStr">
        <is>
          <t>Luva de Raspa</t>
        </is>
      </c>
      <c r="E104" s="8" t="inlineStr">
        <is>
          <t>EPI</t>
        </is>
      </c>
      <c r="F104" s="11" t="n">
        <v>3</v>
      </c>
      <c r="G104" s="8" t="inlineStr">
        <is>
          <t>PAR</t>
        </is>
      </c>
      <c r="H104" s="9" t="n">
        <v>15</v>
      </c>
      <c r="I104" s="8" t="inlineStr">
        <is>
          <t>MANUTENCAO</t>
        </is>
      </c>
      <c r="J104" s="8" t="inlineStr">
        <is>
          <t>Consumo</t>
        </is>
      </c>
      <c r="K104" s="9">
        <f>ROUND(tbConsumo[[#This Row],[Quantidade]]*tbConsumo[[#This Row],[Custo_Unitario]],2)</f>
        <v>45</v>
      </c>
      <c r="L104" s="11" t="str">
        <f>YEAR(tbConsumo[[#This Row],[Data]])&amp;"-"&amp;TEXT(MONTH(tbConsumo[[#This Row],[Data]]),"00")</f>
        <v>2026-07</v>
      </c>
    </row>
    <row r="105">
      <c r="A105" s="8" t="inlineStr">
        <is>
          <t>MOV0104</t>
        </is>
      </c>
      <c r="B105" s="13" t="n">
        <v>46219</v>
      </c>
      <c r="C105" s="8" t="inlineStr">
        <is>
          <t>MAT005</t>
        </is>
      </c>
      <c r="D105" s="8" t="inlineStr">
        <is>
          <t>Eletrodo Revestido 2,5 mm</t>
        </is>
      </c>
      <c r="E105" s="8" t="inlineStr">
        <is>
          <t>Soldagem</t>
        </is>
      </c>
      <c r="F105" s="11" t="n">
        <v>3</v>
      </c>
      <c r="G105" s="8" t="inlineStr">
        <is>
          <t>CX</t>
        </is>
      </c>
      <c r="H105" s="9" t="n">
        <v>96</v>
      </c>
      <c r="I105" s="8" t="inlineStr">
        <is>
          <t>SOLDAGEM</t>
        </is>
      </c>
      <c r="J105" s="8" t="inlineStr">
        <is>
          <t>Consumo</t>
        </is>
      </c>
      <c r="K105" s="9">
        <f>ROUND(tbConsumo[[#This Row],[Quantidade]]*tbConsumo[[#This Row],[Custo_Unitario]],2)</f>
        <v>288</v>
      </c>
      <c r="L105" s="11" t="str">
        <f>YEAR(tbConsumo[[#This Row],[Data]])&amp;"-"&amp;TEXT(MONTH(tbConsumo[[#This Row],[Data]]),"00")</f>
        <v>2026-07</v>
      </c>
    </row>
    <row r="106">
      <c r="A106" s="8" t="inlineStr">
        <is>
          <t>MOV0105</t>
        </is>
      </c>
      <c r="B106" s="13" t="n">
        <v>46219</v>
      </c>
      <c r="C106" s="8" t="inlineStr">
        <is>
          <t>MAT012</t>
        </is>
      </c>
      <c r="D106" s="8" t="inlineStr">
        <is>
          <t>Fita Isolante 19 mm</t>
        </is>
      </c>
      <c r="E106" s="8" t="inlineStr">
        <is>
          <t>Elétrica</t>
        </is>
      </c>
      <c r="F106" s="11" t="n">
        <v>1</v>
      </c>
      <c r="G106" s="8" t="inlineStr">
        <is>
          <t>PCT</t>
        </is>
      </c>
      <c r="H106" s="9" t="n">
        <v>42</v>
      </c>
      <c r="I106" s="8" t="inlineStr">
        <is>
          <t>MANUTENCAO</t>
        </is>
      </c>
      <c r="J106" s="8" t="inlineStr">
        <is>
          <t>Consumo</t>
        </is>
      </c>
      <c r="K106" s="9">
        <f>ROUND(tbConsumo[[#This Row],[Quantidade]]*tbConsumo[[#This Row],[Custo_Unitario]],2)</f>
        <v>42</v>
      </c>
      <c r="L106" s="11" t="str">
        <f>YEAR(tbConsumo[[#This Row],[Data]])&amp;"-"&amp;TEXT(MONTH(tbConsumo[[#This Row],[Data]]),"00")</f>
        <v>2026-07</v>
      </c>
    </row>
    <row r="107">
      <c r="A107" s="8" t="inlineStr">
        <is>
          <t>MOV0106</t>
        </is>
      </c>
      <c r="B107" s="13" t="n">
        <v>46220</v>
      </c>
      <c r="C107" s="8" t="inlineStr">
        <is>
          <t>MAT014</t>
        </is>
      </c>
      <c r="D107" s="8" t="inlineStr">
        <is>
          <t>Disjuntor Tripolar 32 A</t>
        </is>
      </c>
      <c r="E107" s="8" t="inlineStr">
        <is>
          <t>Elétrica</t>
        </is>
      </c>
      <c r="F107" s="11" t="n">
        <v>1</v>
      </c>
      <c r="G107" s="8" t="inlineStr">
        <is>
          <t>UN</t>
        </is>
      </c>
      <c r="H107" s="9" t="n">
        <v>118</v>
      </c>
      <c r="I107" s="8" t="inlineStr">
        <is>
          <t>ELETRICA</t>
        </is>
      </c>
      <c r="J107" s="8" t="inlineStr">
        <is>
          <t>Consumo</t>
        </is>
      </c>
      <c r="K107" s="9">
        <f>ROUND(tbConsumo[[#This Row],[Quantidade]]*tbConsumo[[#This Row],[Custo_Unitario]],2)</f>
        <v>118</v>
      </c>
      <c r="L107" s="11" t="str">
        <f>YEAR(tbConsumo[[#This Row],[Data]])&amp;"-"&amp;TEXT(MONTH(tbConsumo[[#This Row],[Data]]),"00")</f>
        <v>2026-07</v>
      </c>
    </row>
    <row r="108">
      <c r="A108" s="8" t="inlineStr">
        <is>
          <t>MOV0107</t>
        </is>
      </c>
      <c r="B108" s="13" t="n">
        <v>46220</v>
      </c>
      <c r="C108" s="8" t="inlineStr">
        <is>
          <t>MAT005</t>
        </is>
      </c>
      <c r="D108" s="8" t="inlineStr">
        <is>
          <t>Eletrodo Revestido 2,5 mm</t>
        </is>
      </c>
      <c r="E108" s="8" t="inlineStr">
        <is>
          <t>Soldagem</t>
        </is>
      </c>
      <c r="F108" s="11" t="n">
        <v>3</v>
      </c>
      <c r="G108" s="8" t="inlineStr">
        <is>
          <t>CX</t>
        </is>
      </c>
      <c r="H108" s="9" t="n">
        <v>96</v>
      </c>
      <c r="I108" s="8" t="inlineStr">
        <is>
          <t>FABRICACAO</t>
        </is>
      </c>
      <c r="J108" s="8" t="inlineStr">
        <is>
          <t>Consumo</t>
        </is>
      </c>
      <c r="K108" s="9">
        <f>ROUND(tbConsumo[[#This Row],[Quantidade]]*tbConsumo[[#This Row],[Custo_Unitario]],2)</f>
        <v>288</v>
      </c>
      <c r="L108" s="11" t="str">
        <f>YEAR(tbConsumo[[#This Row],[Data]])&amp;"-"&amp;TEXT(MONTH(tbConsumo[[#This Row],[Data]]),"00")</f>
        <v>2026-07</v>
      </c>
    </row>
    <row r="109">
      <c r="A109" s="8" t="inlineStr">
        <is>
          <t>MOV0108</t>
        </is>
      </c>
      <c r="B109" s="13" t="n">
        <v>46220</v>
      </c>
      <c r="C109" s="8" t="inlineStr">
        <is>
          <t>MAT011</t>
        </is>
      </c>
      <c r="D109" s="8" t="inlineStr">
        <is>
          <t>Cabo Flexível 2,5 mm² Rolo</t>
        </is>
      </c>
      <c r="E109" s="8" t="inlineStr">
        <is>
          <t>Elétrica</t>
        </is>
      </c>
      <c r="F109" s="11" t="n">
        <v>1</v>
      </c>
      <c r="G109" s="8" t="inlineStr">
        <is>
          <t>UN</t>
        </is>
      </c>
      <c r="H109" s="9" t="n">
        <v>285</v>
      </c>
      <c r="I109" s="8" t="inlineStr">
        <is>
          <t>ELETRICA</t>
        </is>
      </c>
      <c r="J109" s="8" t="inlineStr">
        <is>
          <t>Consumo</t>
        </is>
      </c>
      <c r="K109" s="9">
        <f>ROUND(tbConsumo[[#This Row],[Quantidade]]*tbConsumo[[#This Row],[Custo_Unitario]],2)</f>
        <v>285</v>
      </c>
      <c r="L109" s="11" t="str">
        <f>YEAR(tbConsumo[[#This Row],[Data]])&amp;"-"&amp;TEXT(MONTH(tbConsumo[[#This Row],[Data]]),"00")</f>
        <v>2026-07</v>
      </c>
    </row>
    <row r="110">
      <c r="A110" s="8" t="inlineStr">
        <is>
          <t>MOV0109</t>
        </is>
      </c>
      <c r="B110" s="13" t="n">
        <v>46220</v>
      </c>
      <c r="C110" s="8" t="inlineStr">
        <is>
          <t>MAT013</t>
        </is>
      </c>
      <c r="D110" s="8" t="inlineStr">
        <is>
          <t>Terminal de Compressão 6 mm²</t>
        </is>
      </c>
      <c r="E110" s="8" t="inlineStr">
        <is>
          <t>Elétrica</t>
        </is>
      </c>
      <c r="F110" s="11" t="n">
        <v>2</v>
      </c>
      <c r="G110" s="8" t="inlineStr">
        <is>
          <t>PCT</t>
        </is>
      </c>
      <c r="H110" s="9" t="n">
        <v>28</v>
      </c>
      <c r="I110" s="8" t="inlineStr">
        <is>
          <t>ELETRICA</t>
        </is>
      </c>
      <c r="J110" s="8" t="inlineStr">
        <is>
          <t>Consumo</t>
        </is>
      </c>
      <c r="K110" s="9">
        <f>ROUND(tbConsumo[[#This Row],[Quantidade]]*tbConsumo[[#This Row],[Custo_Unitario]],2)</f>
        <v>56</v>
      </c>
      <c r="L110" s="11" t="str">
        <f>YEAR(tbConsumo[[#This Row],[Data]])&amp;"-"&amp;TEXT(MONTH(tbConsumo[[#This Row],[Data]]),"00")</f>
        <v>2026-07</v>
      </c>
    </row>
    <row r="111">
      <c r="A111" s="8" t="inlineStr">
        <is>
          <t>MOV0110</t>
        </is>
      </c>
      <c r="B111" s="13" t="n">
        <v>46223</v>
      </c>
      <c r="C111" s="8" t="inlineStr">
        <is>
          <t>MAT015</t>
        </is>
      </c>
      <c r="D111" s="8" t="inlineStr">
        <is>
          <t>Luva de Raspa</t>
        </is>
      </c>
      <c r="E111" s="8" t="inlineStr">
        <is>
          <t>EPI</t>
        </is>
      </c>
      <c r="F111" s="11" t="n">
        <v>10</v>
      </c>
      <c r="G111" s="8" t="inlineStr">
        <is>
          <t>PAR</t>
        </is>
      </c>
      <c r="H111" s="9" t="n">
        <v>15</v>
      </c>
      <c r="I111" s="8" t="inlineStr">
        <is>
          <t>FABRICACAO</t>
        </is>
      </c>
      <c r="J111" s="8" t="inlineStr">
        <is>
          <t>Consumo</t>
        </is>
      </c>
      <c r="K111" s="9">
        <f>ROUND(tbConsumo[[#This Row],[Quantidade]]*tbConsumo[[#This Row],[Custo_Unitario]],2)</f>
        <v>150</v>
      </c>
      <c r="L111" s="11" t="str">
        <f>YEAR(tbConsumo[[#This Row],[Data]])&amp;"-"&amp;TEXT(MONTH(tbConsumo[[#This Row],[Data]]),"00")</f>
        <v>2026-07</v>
      </c>
    </row>
    <row r="112">
      <c r="A112" s="8" t="inlineStr">
        <is>
          <t>MOV0111</t>
        </is>
      </c>
      <c r="B112" s="13" t="n">
        <v>46223</v>
      </c>
      <c r="C112" s="8" t="inlineStr">
        <is>
          <t>MAT008</t>
        </is>
      </c>
      <c r="D112" s="8" t="inlineStr">
        <is>
          <t>Disco de Corte 4,5 pol</t>
        </is>
      </c>
      <c r="E112" s="8" t="inlineStr">
        <is>
          <t>Corte</t>
        </is>
      </c>
      <c r="F112" s="11" t="n">
        <v>60</v>
      </c>
      <c r="G112" s="8" t="inlineStr">
        <is>
          <t>UN</t>
        </is>
      </c>
      <c r="H112" s="9" t="n">
        <v>5.9</v>
      </c>
      <c r="I112" s="8" t="inlineStr">
        <is>
          <t>MECANICA</t>
        </is>
      </c>
      <c r="J112" s="8" t="inlineStr">
        <is>
          <t>Consumo</t>
        </is>
      </c>
      <c r="K112" s="9">
        <f>ROUND(tbConsumo[[#This Row],[Quantidade]]*tbConsumo[[#This Row],[Custo_Unitario]],2)</f>
        <v>354</v>
      </c>
      <c r="L112" s="11" t="str">
        <f>YEAR(tbConsumo[[#This Row],[Data]])&amp;"-"&amp;TEXT(MONTH(tbConsumo[[#This Row],[Data]]),"00")</f>
        <v>2026-07</v>
      </c>
    </row>
    <row r="113">
      <c r="A113" s="8" t="inlineStr">
        <is>
          <t>MOV0112</t>
        </is>
      </c>
      <c r="B113" s="13" t="n">
        <v>46224</v>
      </c>
      <c r="C113" s="8" t="inlineStr">
        <is>
          <t>MAT017</t>
        </is>
      </c>
      <c r="D113" s="8" t="inlineStr">
        <is>
          <t>Máscara Respiratória PFF2</t>
        </is>
      </c>
      <c r="E113" s="8" t="inlineStr">
        <is>
          <t>EPI</t>
        </is>
      </c>
      <c r="F113" s="11" t="n">
        <v>2</v>
      </c>
      <c r="G113" s="8" t="inlineStr">
        <is>
          <t>CX</t>
        </is>
      </c>
      <c r="H113" s="9" t="n">
        <v>72</v>
      </c>
      <c r="I113" s="8" t="inlineStr">
        <is>
          <t>MANUTENCAO</t>
        </is>
      </c>
      <c r="J113" s="8" t="inlineStr">
        <is>
          <t>Consumo</t>
        </is>
      </c>
      <c r="K113" s="9">
        <f>ROUND(tbConsumo[[#This Row],[Quantidade]]*tbConsumo[[#This Row],[Custo_Unitario]],2)</f>
        <v>144</v>
      </c>
      <c r="L113" s="11" t="str">
        <f>YEAR(tbConsumo[[#This Row],[Data]])&amp;"-"&amp;TEXT(MONTH(tbConsumo[[#This Row],[Data]]),"00")</f>
        <v>2026-07</v>
      </c>
    </row>
    <row r="114">
      <c r="A114" s="8" t="inlineStr">
        <is>
          <t>MOV0113</t>
        </is>
      </c>
      <c r="B114" s="13" t="n">
        <v>46224</v>
      </c>
      <c r="C114" s="8" t="inlineStr">
        <is>
          <t>MAT014</t>
        </is>
      </c>
      <c r="D114" s="8" t="inlineStr">
        <is>
          <t>Disjuntor Tripolar 32 A</t>
        </is>
      </c>
      <c r="E114" s="8" t="inlineStr">
        <is>
          <t>Elétrica</t>
        </is>
      </c>
      <c r="F114" s="11" t="n">
        <v>2</v>
      </c>
      <c r="G114" s="8" t="inlineStr">
        <is>
          <t>UN</t>
        </is>
      </c>
      <c r="H114" s="9" t="n">
        <v>118</v>
      </c>
      <c r="I114" s="8" t="inlineStr">
        <is>
          <t>MANUTENCAO</t>
        </is>
      </c>
      <c r="J114" s="8" t="inlineStr">
        <is>
          <t>Consumo</t>
        </is>
      </c>
      <c r="K114" s="9">
        <f>ROUND(tbConsumo[[#This Row],[Quantidade]]*tbConsumo[[#This Row],[Custo_Unitario]],2)</f>
        <v>236</v>
      </c>
      <c r="L114" s="11" t="str">
        <f>YEAR(tbConsumo[[#This Row],[Data]])&amp;"-"&amp;TEXT(MONTH(tbConsumo[[#This Row],[Data]]),"00")</f>
        <v>2026-07</v>
      </c>
    </row>
    <row r="115">
      <c r="A115" s="8" t="inlineStr">
        <is>
          <t>MOV0114</t>
        </is>
      </c>
      <c r="B115" s="13" t="n">
        <v>46224</v>
      </c>
      <c r="C115" s="8" t="inlineStr">
        <is>
          <t>MAT004</t>
        </is>
      </c>
      <c r="D115" s="8" t="inlineStr">
        <is>
          <t>Bico de Contato MIG 1,0 mm</t>
        </is>
      </c>
      <c r="E115" s="8" t="inlineStr">
        <is>
          <t>Soldagem</t>
        </is>
      </c>
      <c r="F115" s="11" t="n">
        <v>1</v>
      </c>
      <c r="G115" s="8" t="inlineStr">
        <is>
          <t>PCT</t>
        </is>
      </c>
      <c r="H115" s="9" t="n">
        <v>45</v>
      </c>
      <c r="I115" s="8" t="inlineStr">
        <is>
          <t>SOLDAGEM</t>
        </is>
      </c>
      <c r="J115" s="8" t="inlineStr">
        <is>
          <t>Consumo</t>
        </is>
      </c>
      <c r="K115" s="9">
        <f>ROUND(tbConsumo[[#This Row],[Quantidade]]*tbConsumo[[#This Row],[Custo_Unitario]],2)</f>
        <v>45</v>
      </c>
      <c r="L115" s="11" t="str">
        <f>YEAR(tbConsumo[[#This Row],[Data]])&amp;"-"&amp;TEXT(MONTH(tbConsumo[[#This Row],[Data]]),"00")</f>
        <v>2026-07</v>
      </c>
    </row>
    <row r="116">
      <c r="A116" s="8" t="inlineStr">
        <is>
          <t>MOV0115</t>
        </is>
      </c>
      <c r="B116" s="13" t="n">
        <v>46224</v>
      </c>
      <c r="C116" s="8" t="inlineStr">
        <is>
          <t>MAT008</t>
        </is>
      </c>
      <c r="D116" s="8" t="inlineStr">
        <is>
          <t>Disco de Corte 4,5 pol</t>
        </is>
      </c>
      <c r="E116" s="8" t="inlineStr">
        <is>
          <t>Corte</t>
        </is>
      </c>
      <c r="F116" s="11" t="n">
        <v>22</v>
      </c>
      <c r="G116" s="8" t="inlineStr">
        <is>
          <t>UN</t>
        </is>
      </c>
      <c r="H116" s="9" t="n">
        <v>5.9</v>
      </c>
      <c r="I116" s="8" t="inlineStr">
        <is>
          <t>FABRICACAO</t>
        </is>
      </c>
      <c r="J116" s="8" t="inlineStr">
        <is>
          <t>Consumo</t>
        </is>
      </c>
      <c r="K116" s="9">
        <f>ROUND(tbConsumo[[#This Row],[Quantidade]]*tbConsumo[[#This Row],[Custo_Unitario]],2)</f>
        <v>129.8</v>
      </c>
      <c r="L116" s="11" t="str">
        <f>YEAR(tbConsumo[[#This Row],[Data]])&amp;"-"&amp;TEXT(MONTH(tbConsumo[[#This Row],[Data]]),"00")</f>
        <v>2026-07</v>
      </c>
    </row>
    <row r="117">
      <c r="A117" s="8" t="inlineStr">
        <is>
          <t>MOV0116</t>
        </is>
      </c>
      <c r="B117" s="13" t="n">
        <v>46225</v>
      </c>
      <c r="C117" s="8" t="inlineStr">
        <is>
          <t>MAT002</t>
        </is>
      </c>
      <c r="D117" s="8" t="inlineStr">
        <is>
          <t>Disco Flap 4,5 pol Grão 60</t>
        </is>
      </c>
      <c r="E117" s="8" t="inlineStr">
        <is>
          <t>Abrasivos</t>
        </is>
      </c>
      <c r="F117" s="11" t="n">
        <v>12</v>
      </c>
      <c r="G117" s="8" t="inlineStr">
        <is>
          <t>UN</t>
        </is>
      </c>
      <c r="H117" s="9" t="n">
        <v>7.4</v>
      </c>
      <c r="I117" s="8" t="inlineStr">
        <is>
          <t>MECANICA</t>
        </is>
      </c>
      <c r="J117" s="8" t="inlineStr">
        <is>
          <t>Consumo</t>
        </is>
      </c>
      <c r="K117" s="9">
        <f>ROUND(tbConsumo[[#This Row],[Quantidade]]*tbConsumo[[#This Row],[Custo_Unitario]],2)</f>
        <v>88.8</v>
      </c>
      <c r="L117" s="11" t="str">
        <f>YEAR(tbConsumo[[#This Row],[Data]])&amp;"-"&amp;TEXT(MONTH(tbConsumo[[#This Row],[Data]]),"00")</f>
        <v>2026-07</v>
      </c>
    </row>
    <row r="118">
      <c r="A118" s="8" t="inlineStr">
        <is>
          <t>MOV0117</t>
        </is>
      </c>
      <c r="B118" s="13" t="n">
        <v>46225</v>
      </c>
      <c r="C118" s="8" t="inlineStr">
        <is>
          <t>MAT009</t>
        </is>
      </c>
      <c r="D118" s="8" t="inlineStr">
        <is>
          <t>Serra Copo 51 mm</t>
        </is>
      </c>
      <c r="E118" s="8" t="inlineStr">
        <is>
          <t>Corte</t>
        </is>
      </c>
      <c r="F118" s="11" t="n">
        <v>1</v>
      </c>
      <c r="G118" s="8" t="inlineStr">
        <is>
          <t>UN</t>
        </is>
      </c>
      <c r="H118" s="9" t="n">
        <v>46</v>
      </c>
      <c r="I118" s="8" t="inlineStr">
        <is>
          <t>FABRICACAO</t>
        </is>
      </c>
      <c r="J118" s="8" t="inlineStr">
        <is>
          <t>Consumo</t>
        </is>
      </c>
      <c r="K118" s="9">
        <f>ROUND(tbConsumo[[#This Row],[Quantidade]]*tbConsumo[[#This Row],[Custo_Unitario]],2)</f>
        <v>46</v>
      </c>
      <c r="L118" s="11" t="str">
        <f>YEAR(tbConsumo[[#This Row],[Data]])&amp;"-"&amp;TEXT(MONTH(tbConsumo[[#This Row],[Data]]),"00")</f>
        <v>2026-07</v>
      </c>
    </row>
    <row r="119">
      <c r="A119" s="8" t="inlineStr">
        <is>
          <t>MOV0118</t>
        </is>
      </c>
      <c r="B119" s="13" t="n">
        <v>46225</v>
      </c>
      <c r="C119" s="8" t="inlineStr">
        <is>
          <t>MAT001</t>
        </is>
      </c>
      <c r="D119" s="8" t="inlineStr">
        <is>
          <t>Disco de Desbaste 7 pol</t>
        </is>
      </c>
      <c r="E119" s="8" t="inlineStr">
        <is>
          <t>Abrasivos</t>
        </is>
      </c>
      <c r="F119" s="11" t="n">
        <v>24</v>
      </c>
      <c r="G119" s="8" t="inlineStr">
        <is>
          <t>UN</t>
        </is>
      </c>
      <c r="H119" s="9" t="n">
        <v>9.800000000000001</v>
      </c>
      <c r="I119" s="8" t="inlineStr">
        <is>
          <t>MECANICA</t>
        </is>
      </c>
      <c r="J119" s="8" t="inlineStr">
        <is>
          <t>Consumo</t>
        </is>
      </c>
      <c r="K119" s="9">
        <f>ROUND(tbConsumo[[#This Row],[Quantidade]]*tbConsumo[[#This Row],[Custo_Unitario]],2)</f>
        <v>235.2</v>
      </c>
      <c r="L119" s="11" t="str">
        <f>YEAR(tbConsumo[[#This Row],[Data]])&amp;"-"&amp;TEXT(MONTH(tbConsumo[[#This Row],[Data]]),"00")</f>
        <v>2026-07</v>
      </c>
    </row>
    <row r="120">
      <c r="A120" s="8" t="inlineStr">
        <is>
          <t>MOV0119</t>
        </is>
      </c>
      <c r="B120" s="13" t="n">
        <v>46225</v>
      </c>
      <c r="C120" s="8" t="inlineStr">
        <is>
          <t>MAT003</t>
        </is>
      </c>
      <c r="D120" s="8" t="inlineStr">
        <is>
          <t>Lixa de Ferro Grão 80</t>
        </is>
      </c>
      <c r="E120" s="8" t="inlineStr">
        <is>
          <t>Abrasivos</t>
        </is>
      </c>
      <c r="F120" s="11" t="n">
        <v>1</v>
      </c>
      <c r="G120" s="8" t="inlineStr">
        <is>
          <t>PCT</t>
        </is>
      </c>
      <c r="H120" s="9" t="n">
        <v>38</v>
      </c>
      <c r="I120" s="8" t="inlineStr">
        <is>
          <t>SOLDAGEM</t>
        </is>
      </c>
      <c r="J120" s="8" t="inlineStr">
        <is>
          <t>Consumo</t>
        </is>
      </c>
      <c r="K120" s="9">
        <f>ROUND(tbConsumo[[#This Row],[Quantidade]]*tbConsumo[[#This Row],[Custo_Unitario]],2)</f>
        <v>38</v>
      </c>
      <c r="L120" s="11" t="str">
        <f>YEAR(tbConsumo[[#This Row],[Data]])&amp;"-"&amp;TEXT(MONTH(tbConsumo[[#This Row],[Data]]),"00")</f>
        <v>2026-07</v>
      </c>
    </row>
    <row r="121">
      <c r="A121" s="8" t="inlineStr">
        <is>
          <t>MOV0120</t>
        </is>
      </c>
      <c r="B121" s="13" t="n">
        <v>46226</v>
      </c>
      <c r="C121" s="8" t="inlineStr">
        <is>
          <t>MAT002</t>
        </is>
      </c>
      <c r="D121" s="8" t="inlineStr">
        <is>
          <t>Disco Flap 4,5 pol Grão 60</t>
        </is>
      </c>
      <c r="E121" s="8" t="inlineStr">
        <is>
          <t>Abrasivos</t>
        </is>
      </c>
      <c r="F121" s="11" t="n">
        <v>13</v>
      </c>
      <c r="G121" s="8" t="inlineStr">
        <is>
          <t>UN</t>
        </is>
      </c>
      <c r="H121" s="9" t="n">
        <v>7.4</v>
      </c>
      <c r="I121" s="8" t="inlineStr">
        <is>
          <t>MECANICA</t>
        </is>
      </c>
      <c r="J121" s="8" t="inlineStr">
        <is>
          <t>Consumo</t>
        </is>
      </c>
      <c r="K121" s="9">
        <f>ROUND(tbConsumo[[#This Row],[Quantidade]]*tbConsumo[[#This Row],[Custo_Unitario]],2)</f>
        <v>96.2</v>
      </c>
      <c r="L121" s="11" t="str">
        <f>YEAR(tbConsumo[[#This Row],[Data]])&amp;"-"&amp;TEXT(MONTH(tbConsumo[[#This Row],[Data]]),"00")</f>
        <v>2026-07</v>
      </c>
    </row>
    <row r="122">
      <c r="A122" s="8" t="inlineStr">
        <is>
          <t>MOV0121</t>
        </is>
      </c>
      <c r="B122" s="13" t="n">
        <v>46226</v>
      </c>
      <c r="C122" s="8" t="inlineStr">
        <is>
          <t>MAT005</t>
        </is>
      </c>
      <c r="D122" s="8" t="inlineStr">
        <is>
          <t>Eletrodo Revestido 2,5 mm</t>
        </is>
      </c>
      <c r="E122" s="8" t="inlineStr">
        <is>
          <t>Soldagem</t>
        </is>
      </c>
      <c r="F122" s="11" t="n">
        <v>1</v>
      </c>
      <c r="G122" s="8" t="inlineStr">
        <is>
          <t>CX</t>
        </is>
      </c>
      <c r="H122" s="9" t="n">
        <v>96</v>
      </c>
      <c r="I122" s="8" t="inlineStr">
        <is>
          <t>SOLDAGEM</t>
        </is>
      </c>
      <c r="J122" s="8" t="inlineStr">
        <is>
          <t>Consumo</t>
        </is>
      </c>
      <c r="K122" s="9">
        <f>ROUND(tbConsumo[[#This Row],[Quantidade]]*tbConsumo[[#This Row],[Custo_Unitario]],2)</f>
        <v>96</v>
      </c>
      <c r="L122" s="11" t="str">
        <f>YEAR(tbConsumo[[#This Row],[Data]])&amp;"-"&amp;TEXT(MONTH(tbConsumo[[#This Row],[Data]]),"00")</f>
        <v>2026-07</v>
      </c>
    </row>
    <row r="123">
      <c r="A123" s="8" t="inlineStr">
        <is>
          <t>MOV0122</t>
        </is>
      </c>
      <c r="B123" s="13" t="n">
        <v>46226</v>
      </c>
      <c r="C123" s="8" t="inlineStr">
        <is>
          <t>MAT004</t>
        </is>
      </c>
      <c r="D123" s="8" t="inlineStr">
        <is>
          <t>Bico de Contato MIG 1,0 mm</t>
        </is>
      </c>
      <c r="E123" s="8" t="inlineStr">
        <is>
          <t>Soldagem</t>
        </is>
      </c>
      <c r="F123" s="11" t="n">
        <v>3</v>
      </c>
      <c r="G123" s="8" t="inlineStr">
        <is>
          <t>PCT</t>
        </is>
      </c>
      <c r="H123" s="9" t="n">
        <v>45</v>
      </c>
      <c r="I123" s="8" t="inlineStr">
        <is>
          <t>SOLDAGEM</t>
        </is>
      </c>
      <c r="J123" s="8" t="inlineStr">
        <is>
          <t>Consumo</t>
        </is>
      </c>
      <c r="K123" s="9">
        <f>ROUND(tbConsumo[[#This Row],[Quantidade]]*tbConsumo[[#This Row],[Custo_Unitario]],2)</f>
        <v>135</v>
      </c>
      <c r="L123" s="11" t="str">
        <f>YEAR(tbConsumo[[#This Row],[Data]])&amp;"-"&amp;TEXT(MONTH(tbConsumo[[#This Row],[Data]]),"00")</f>
        <v>2026-07</v>
      </c>
    </row>
    <row r="124">
      <c r="A124" s="8" t="inlineStr">
        <is>
          <t>MOV0123</t>
        </is>
      </c>
      <c r="B124" s="13" t="n">
        <v>46226</v>
      </c>
      <c r="C124" s="8" t="inlineStr">
        <is>
          <t>MAT008</t>
        </is>
      </c>
      <c r="D124" s="8" t="inlineStr">
        <is>
          <t>Disco de Corte 4,5 pol</t>
        </is>
      </c>
      <c r="E124" s="8" t="inlineStr">
        <is>
          <t>Corte</t>
        </is>
      </c>
      <c r="F124" s="11" t="n">
        <v>12</v>
      </c>
      <c r="G124" s="8" t="inlineStr">
        <is>
          <t>UN</t>
        </is>
      </c>
      <c r="H124" s="9" t="n">
        <v>5.9</v>
      </c>
      <c r="I124" s="8" t="inlineStr">
        <is>
          <t>SOLDAGEM</t>
        </is>
      </c>
      <c r="J124" s="8" t="inlineStr">
        <is>
          <t>Consumo</t>
        </is>
      </c>
      <c r="K124" s="9">
        <f>ROUND(tbConsumo[[#This Row],[Quantidade]]*tbConsumo[[#This Row],[Custo_Unitario]],2)</f>
        <v>70.8</v>
      </c>
      <c r="L124" s="11" t="str">
        <f>YEAR(tbConsumo[[#This Row],[Data]])&amp;"-"&amp;TEXT(MONTH(tbConsumo[[#This Row],[Data]]),"00")</f>
        <v>2026-07</v>
      </c>
    </row>
    <row r="125">
      <c r="A125" s="8" t="inlineStr">
        <is>
          <t>MOV0124</t>
        </is>
      </c>
      <c r="B125" s="13" t="n">
        <v>46227</v>
      </c>
      <c r="C125" s="8" t="inlineStr">
        <is>
          <t>MAT005</t>
        </is>
      </c>
      <c r="D125" s="8" t="inlineStr">
        <is>
          <t>Eletrodo Revestido 2,5 mm</t>
        </is>
      </c>
      <c r="E125" s="8" t="inlineStr">
        <is>
          <t>Soldagem</t>
        </is>
      </c>
      <c r="F125" s="11" t="n">
        <v>3</v>
      </c>
      <c r="G125" s="8" t="inlineStr">
        <is>
          <t>CX</t>
        </is>
      </c>
      <c r="H125" s="9" t="n">
        <v>96</v>
      </c>
      <c r="I125" s="8" t="inlineStr">
        <is>
          <t>SOLDAGEM</t>
        </is>
      </c>
      <c r="J125" s="8" t="inlineStr">
        <is>
          <t>Consumo</t>
        </is>
      </c>
      <c r="K125" s="9">
        <f>ROUND(tbConsumo[[#This Row],[Quantidade]]*tbConsumo[[#This Row],[Custo_Unitario]],2)</f>
        <v>288</v>
      </c>
      <c r="L125" s="11" t="str">
        <f>YEAR(tbConsumo[[#This Row],[Data]])&amp;"-"&amp;TEXT(MONTH(tbConsumo[[#This Row],[Data]]),"00")</f>
        <v>2026-07</v>
      </c>
    </row>
    <row r="126">
      <c r="A126" s="8" t="inlineStr">
        <is>
          <t>MOV0125</t>
        </is>
      </c>
      <c r="B126" s="13" t="n">
        <v>46227</v>
      </c>
      <c r="C126" s="8" t="inlineStr">
        <is>
          <t>MAT013</t>
        </is>
      </c>
      <c r="D126" s="8" t="inlineStr">
        <is>
          <t>Terminal de Compressão 6 mm²</t>
        </is>
      </c>
      <c r="E126" s="8" t="inlineStr">
        <is>
          <t>Elétrica</t>
        </is>
      </c>
      <c r="F126" s="11" t="n">
        <v>1</v>
      </c>
      <c r="G126" s="8" t="inlineStr">
        <is>
          <t>PCT</t>
        </is>
      </c>
      <c r="H126" s="9" t="n">
        <v>28</v>
      </c>
      <c r="I126" s="8" t="inlineStr">
        <is>
          <t>ELETRICA</t>
        </is>
      </c>
      <c r="J126" s="8" t="inlineStr">
        <is>
          <t>Consumo</t>
        </is>
      </c>
      <c r="K126" s="9">
        <f>ROUND(tbConsumo[[#This Row],[Quantidade]]*tbConsumo[[#This Row],[Custo_Unitario]],2)</f>
        <v>28</v>
      </c>
      <c r="L126" s="11" t="str">
        <f>YEAR(tbConsumo[[#This Row],[Data]])&amp;"-"&amp;TEXT(MONTH(tbConsumo[[#This Row],[Data]]),"00")</f>
        <v>2026-07</v>
      </c>
    </row>
    <row r="127">
      <c r="A127" s="8" t="inlineStr">
        <is>
          <t>MOV0126</t>
        </is>
      </c>
      <c r="B127" s="13" t="n">
        <v>46227</v>
      </c>
      <c r="C127" s="8" t="inlineStr">
        <is>
          <t>MAT007</t>
        </is>
      </c>
      <c r="D127" s="8" t="inlineStr">
        <is>
          <t>Disco de Corte 7 pol</t>
        </is>
      </c>
      <c r="E127" s="8" t="inlineStr">
        <is>
          <t>Corte</t>
        </is>
      </c>
      <c r="F127" s="11" t="n">
        <v>34</v>
      </c>
      <c r="G127" s="8" t="inlineStr">
        <is>
          <t>UN</t>
        </is>
      </c>
      <c r="H127" s="9" t="n">
        <v>12.5</v>
      </c>
      <c r="I127" s="8" t="inlineStr">
        <is>
          <t>MANUTENCAO</t>
        </is>
      </c>
      <c r="J127" s="8" t="inlineStr">
        <is>
          <t>Consumo</t>
        </is>
      </c>
      <c r="K127" s="9">
        <f>ROUND(tbConsumo[[#This Row],[Quantidade]]*tbConsumo[[#This Row],[Custo_Unitario]],2)</f>
        <v>425</v>
      </c>
      <c r="L127" s="11" t="str">
        <f>YEAR(tbConsumo[[#This Row],[Data]])&amp;"-"&amp;TEXT(MONTH(tbConsumo[[#This Row],[Data]]),"00")</f>
        <v>2026-07</v>
      </c>
    </row>
    <row r="128">
      <c r="A128" s="8" t="inlineStr">
        <is>
          <t>MOV0127</t>
        </is>
      </c>
      <c r="B128" s="13" t="n">
        <v>46227</v>
      </c>
      <c r="C128" s="8" t="inlineStr">
        <is>
          <t>MAT004</t>
        </is>
      </c>
      <c r="D128" s="8" t="inlineStr">
        <is>
          <t>Bico de Contato MIG 1,0 mm</t>
        </is>
      </c>
      <c r="E128" s="8" t="inlineStr">
        <is>
          <t>Soldagem</t>
        </is>
      </c>
      <c r="F128" s="11" t="n">
        <v>3</v>
      </c>
      <c r="G128" s="8" t="inlineStr">
        <is>
          <t>PCT</t>
        </is>
      </c>
      <c r="H128" s="9" t="n">
        <v>45</v>
      </c>
      <c r="I128" s="8" t="inlineStr">
        <is>
          <t>MECANICA</t>
        </is>
      </c>
      <c r="J128" s="8" t="inlineStr">
        <is>
          <t>Consumo</t>
        </is>
      </c>
      <c r="K128" s="9">
        <f>ROUND(tbConsumo[[#This Row],[Quantidade]]*tbConsumo[[#This Row],[Custo_Unitario]],2)</f>
        <v>135</v>
      </c>
      <c r="L128" s="11" t="str">
        <f>YEAR(tbConsumo[[#This Row],[Data]])&amp;"-"&amp;TEXT(MONTH(tbConsumo[[#This Row],[Data]]),"00")</f>
        <v>2026-07</v>
      </c>
    </row>
    <row r="129">
      <c r="A129" s="8" t="inlineStr">
        <is>
          <t>MOV0128</t>
        </is>
      </c>
      <c r="B129" s="13" t="n">
        <v>46228</v>
      </c>
      <c r="C129" s="8" t="inlineStr">
        <is>
          <t>MAT005</t>
        </is>
      </c>
      <c r="D129" s="8" t="inlineStr">
        <is>
          <t>Eletrodo Revestido 2,5 mm</t>
        </is>
      </c>
      <c r="E129" s="8" t="inlineStr">
        <is>
          <t>Soldagem</t>
        </is>
      </c>
      <c r="F129" s="11" t="n">
        <v>2</v>
      </c>
      <c r="G129" s="8" t="inlineStr">
        <is>
          <t>CX</t>
        </is>
      </c>
      <c r="H129" s="9" t="n">
        <v>96</v>
      </c>
      <c r="I129" s="8" t="inlineStr">
        <is>
          <t>MANUTENCAO</t>
        </is>
      </c>
      <c r="J129" s="8" t="inlineStr">
        <is>
          <t>Consumo</t>
        </is>
      </c>
      <c r="K129" s="9">
        <f>ROUND(tbConsumo[[#This Row],[Quantidade]]*tbConsumo[[#This Row],[Custo_Unitario]],2)</f>
        <v>192</v>
      </c>
      <c r="L129" s="11" t="str">
        <f>YEAR(tbConsumo[[#This Row],[Data]])&amp;"-"&amp;TEXT(MONTH(tbConsumo[[#This Row],[Data]]),"00")</f>
        <v>2026-07</v>
      </c>
    </row>
    <row r="130">
      <c r="A130" s="8" t="inlineStr">
        <is>
          <t>MOV0129</t>
        </is>
      </c>
      <c r="B130" s="13" t="n">
        <v>46230</v>
      </c>
      <c r="C130" s="8" t="inlineStr">
        <is>
          <t>MAT008</t>
        </is>
      </c>
      <c r="D130" s="8" t="inlineStr">
        <is>
          <t>Disco de Corte 4,5 pol</t>
        </is>
      </c>
      <c r="E130" s="8" t="inlineStr">
        <is>
          <t>Corte</t>
        </is>
      </c>
      <c r="F130" s="11" t="n">
        <v>17</v>
      </c>
      <c r="G130" s="8" t="inlineStr">
        <is>
          <t>UN</t>
        </is>
      </c>
      <c r="H130" s="9" t="n">
        <v>5.9</v>
      </c>
      <c r="I130" s="8" t="inlineStr">
        <is>
          <t>SOLDAGEM</t>
        </is>
      </c>
      <c r="J130" s="8" t="inlineStr">
        <is>
          <t>Consumo</t>
        </is>
      </c>
      <c r="K130" s="9">
        <f>ROUND(tbConsumo[[#This Row],[Quantidade]]*tbConsumo[[#This Row],[Custo_Unitario]],2)</f>
        <v>100.3</v>
      </c>
      <c r="L130" s="11" t="str">
        <f>YEAR(tbConsumo[[#This Row],[Data]])&amp;"-"&amp;TEXT(MONTH(tbConsumo[[#This Row],[Data]]),"00")</f>
        <v>2026-07</v>
      </c>
    </row>
    <row r="131">
      <c r="A131" s="8" t="inlineStr">
        <is>
          <t>MOV0130</t>
        </is>
      </c>
      <c r="B131" s="13" t="n">
        <v>46231</v>
      </c>
      <c r="C131" s="8" t="inlineStr">
        <is>
          <t>MAT010</t>
        </is>
      </c>
      <c r="D131" s="8" t="inlineStr">
        <is>
          <t>Lâmina de Serra Sabre</t>
        </is>
      </c>
      <c r="E131" s="8" t="inlineStr">
        <is>
          <t>Corte</t>
        </is>
      </c>
      <c r="F131" s="11" t="n">
        <v>2</v>
      </c>
      <c r="G131" s="8" t="inlineStr">
        <is>
          <t>PCT</t>
        </is>
      </c>
      <c r="H131" s="9" t="n">
        <v>62</v>
      </c>
      <c r="I131" s="8" t="inlineStr">
        <is>
          <t>FABRICACAO</t>
        </is>
      </c>
      <c r="J131" s="8" t="inlineStr">
        <is>
          <t>Consumo</t>
        </is>
      </c>
      <c r="K131" s="9">
        <f>ROUND(tbConsumo[[#This Row],[Quantidade]]*tbConsumo[[#This Row],[Custo_Unitario]],2)</f>
        <v>124</v>
      </c>
      <c r="L131" s="11" t="str">
        <f>YEAR(tbConsumo[[#This Row],[Data]])&amp;"-"&amp;TEXT(MONTH(tbConsumo[[#This Row],[Data]]),"00")</f>
        <v>2026-07</v>
      </c>
    </row>
    <row r="132">
      <c r="A132" s="8" t="inlineStr">
        <is>
          <t>MOV0131</t>
        </is>
      </c>
      <c r="B132" s="13" t="n">
        <v>46232</v>
      </c>
      <c r="C132" s="8" t="inlineStr">
        <is>
          <t>MAT007</t>
        </is>
      </c>
      <c r="D132" s="8" t="inlineStr">
        <is>
          <t>Disco de Corte 7 pol</t>
        </is>
      </c>
      <c r="E132" s="8" t="inlineStr">
        <is>
          <t>Corte</t>
        </is>
      </c>
      <c r="F132" s="11" t="n">
        <v>7</v>
      </c>
      <c r="G132" s="8" t="inlineStr">
        <is>
          <t>UN</t>
        </is>
      </c>
      <c r="H132" s="9" t="n">
        <v>12.5</v>
      </c>
      <c r="I132" s="8" t="inlineStr">
        <is>
          <t>MANUTENCAO</t>
        </is>
      </c>
      <c r="J132" s="8" t="inlineStr">
        <is>
          <t>Consumo</t>
        </is>
      </c>
      <c r="K132" s="9">
        <f>ROUND(tbConsumo[[#This Row],[Quantidade]]*tbConsumo[[#This Row],[Custo_Unitario]],2)</f>
        <v>87.5</v>
      </c>
      <c r="L132" s="11" t="str">
        <f>YEAR(tbConsumo[[#This Row],[Data]])&amp;"-"&amp;TEXT(MONTH(tbConsumo[[#This Row],[Data]]),"00")</f>
        <v>2026-07</v>
      </c>
    </row>
    <row r="133">
      <c r="A133" s="8" t="inlineStr">
        <is>
          <t>MOV0132</t>
        </is>
      </c>
      <c r="B133" s="13" t="n">
        <v>46232</v>
      </c>
      <c r="C133" s="8" t="inlineStr">
        <is>
          <t>MAT013</t>
        </is>
      </c>
      <c r="D133" s="8" t="inlineStr">
        <is>
          <t>Terminal de Compressão 6 mm²</t>
        </is>
      </c>
      <c r="E133" s="8" t="inlineStr">
        <is>
          <t>Elétrica</t>
        </is>
      </c>
      <c r="F133" s="11" t="n">
        <v>1</v>
      </c>
      <c r="G133" s="8" t="inlineStr">
        <is>
          <t>PCT</t>
        </is>
      </c>
      <c r="H133" s="9" t="n">
        <v>28</v>
      </c>
      <c r="I133" s="8" t="inlineStr">
        <is>
          <t>ELETRICA</t>
        </is>
      </c>
      <c r="J133" s="8" t="inlineStr">
        <is>
          <t>Consumo</t>
        </is>
      </c>
      <c r="K133" s="9">
        <f>ROUND(tbConsumo[[#This Row],[Quantidade]]*tbConsumo[[#This Row],[Custo_Unitario]],2)</f>
        <v>28</v>
      </c>
      <c r="L133" s="11" t="str">
        <f>YEAR(tbConsumo[[#This Row],[Data]])&amp;"-"&amp;TEXT(MONTH(tbConsumo[[#This Row],[Data]]),"00")</f>
        <v>2026-07</v>
      </c>
    </row>
    <row r="134">
      <c r="A134" s="8" t="inlineStr">
        <is>
          <t>MOV0133</t>
        </is>
      </c>
      <c r="B134" s="13" t="n">
        <v>46232</v>
      </c>
      <c r="C134" s="8" t="inlineStr">
        <is>
          <t>MAT015</t>
        </is>
      </c>
      <c r="D134" s="8" t="inlineStr">
        <is>
          <t>Luva de Raspa</t>
        </is>
      </c>
      <c r="E134" s="8" t="inlineStr">
        <is>
          <t>EPI</t>
        </is>
      </c>
      <c r="F134" s="11" t="n">
        <v>11</v>
      </c>
      <c r="G134" s="8" t="inlineStr">
        <is>
          <t>PAR</t>
        </is>
      </c>
      <c r="H134" s="9" t="n">
        <v>15</v>
      </c>
      <c r="I134" s="8" t="inlineStr">
        <is>
          <t>MANUTENCAO</t>
        </is>
      </c>
      <c r="J134" s="8" t="inlineStr">
        <is>
          <t>Consumo</t>
        </is>
      </c>
      <c r="K134" s="9">
        <f>ROUND(tbConsumo[[#This Row],[Quantidade]]*tbConsumo[[#This Row],[Custo_Unitario]],2)</f>
        <v>165</v>
      </c>
      <c r="L134" s="11" t="str">
        <f>YEAR(tbConsumo[[#This Row],[Data]])&amp;"-"&amp;TEXT(MONTH(tbConsumo[[#This Row],[Data]]),"00")</f>
        <v>2026-07</v>
      </c>
    </row>
    <row r="135">
      <c r="A135" s="8" t="inlineStr">
        <is>
          <t>MOV0134</t>
        </is>
      </c>
      <c r="B135" s="13" t="n">
        <v>46233</v>
      </c>
      <c r="C135" s="8" t="inlineStr">
        <is>
          <t>MAT006</t>
        </is>
      </c>
      <c r="D135" s="8" t="inlineStr">
        <is>
          <t>Arame MIG 1,0 mm Bobina</t>
        </is>
      </c>
      <c r="E135" s="8" t="inlineStr">
        <is>
          <t>Soldagem</t>
        </is>
      </c>
      <c r="F135" s="11" t="n">
        <v>2</v>
      </c>
      <c r="G135" s="8" t="inlineStr">
        <is>
          <t>UN</t>
        </is>
      </c>
      <c r="H135" s="9" t="n">
        <v>210</v>
      </c>
      <c r="I135" s="8" t="inlineStr">
        <is>
          <t>FABRICACAO</t>
        </is>
      </c>
      <c r="J135" s="8" t="inlineStr">
        <is>
          <t>Consumo</t>
        </is>
      </c>
      <c r="K135" s="9">
        <f>ROUND(tbConsumo[[#This Row],[Quantidade]]*tbConsumo[[#This Row],[Custo_Unitario]],2)</f>
        <v>420</v>
      </c>
      <c r="L135" s="11" t="str">
        <f>YEAR(tbConsumo[[#This Row],[Data]])&amp;"-"&amp;TEXT(MONTH(tbConsumo[[#This Row],[Data]]),"00")</f>
        <v>2026-07</v>
      </c>
    </row>
    <row r="136">
      <c r="A136" s="8" t="inlineStr">
        <is>
          <t>MOV0135</t>
        </is>
      </c>
      <c r="B136" s="13" t="n">
        <v>46233</v>
      </c>
      <c r="C136" s="8" t="inlineStr">
        <is>
          <t>MAT013</t>
        </is>
      </c>
      <c r="D136" s="8" t="inlineStr">
        <is>
          <t>Terminal de Compressão 6 mm²</t>
        </is>
      </c>
      <c r="E136" s="8" t="inlineStr">
        <is>
          <t>Elétrica</t>
        </is>
      </c>
      <c r="F136" s="11" t="n">
        <v>1</v>
      </c>
      <c r="G136" s="8" t="inlineStr">
        <is>
          <t>PCT</t>
        </is>
      </c>
      <c r="H136" s="9" t="n">
        <v>28</v>
      </c>
      <c r="I136" s="8" t="inlineStr">
        <is>
          <t>MANUTENCAO</t>
        </is>
      </c>
      <c r="J136" s="8" t="inlineStr">
        <is>
          <t>Consumo</t>
        </is>
      </c>
      <c r="K136" s="9">
        <f>ROUND(tbConsumo[[#This Row],[Quantidade]]*tbConsumo[[#This Row],[Custo_Unitario]],2)</f>
        <v>28</v>
      </c>
      <c r="L136" s="11" t="str">
        <f>YEAR(tbConsumo[[#This Row],[Data]])&amp;"-"&amp;TEXT(MONTH(tbConsumo[[#This Row],[Data]]),"00")</f>
        <v>2026-07</v>
      </c>
    </row>
    <row r="137">
      <c r="A137" s="8" t="inlineStr">
        <is>
          <t>MOV0136</t>
        </is>
      </c>
      <c r="B137" s="13" t="n">
        <v>46234</v>
      </c>
      <c r="C137" s="8" t="inlineStr">
        <is>
          <t>MAT003</t>
        </is>
      </c>
      <c r="D137" s="8" t="inlineStr">
        <is>
          <t>Lixa de Ferro Grão 80</t>
        </is>
      </c>
      <c r="E137" s="8" t="inlineStr">
        <is>
          <t>Abrasivos</t>
        </is>
      </c>
      <c r="F137" s="11" t="n">
        <v>3</v>
      </c>
      <c r="G137" s="8" t="inlineStr">
        <is>
          <t>PCT</t>
        </is>
      </c>
      <c r="H137" s="9" t="n">
        <v>38</v>
      </c>
      <c r="I137" s="8" t="inlineStr">
        <is>
          <t>MANUTENCAO</t>
        </is>
      </c>
      <c r="J137" s="8" t="inlineStr">
        <is>
          <t>Consumo</t>
        </is>
      </c>
      <c r="K137" s="9">
        <f>ROUND(tbConsumo[[#This Row],[Quantidade]]*tbConsumo[[#This Row],[Custo_Unitario]],2)</f>
        <v>114</v>
      </c>
      <c r="L137" s="11" t="str">
        <f>YEAR(tbConsumo[[#This Row],[Data]])&amp;"-"&amp;TEXT(MONTH(tbConsumo[[#This Row],[Data]]),"00")</f>
        <v>2026-07</v>
      </c>
    </row>
    <row r="138">
      <c r="A138" s="8" t="inlineStr">
        <is>
          <t>MOV0137</t>
        </is>
      </c>
      <c r="B138" s="13" t="n">
        <v>46234</v>
      </c>
      <c r="C138" s="8" t="inlineStr">
        <is>
          <t>MAT008</t>
        </is>
      </c>
      <c r="D138" s="8" t="inlineStr">
        <is>
          <t>Disco de Corte 4,5 pol</t>
        </is>
      </c>
      <c r="E138" s="8" t="inlineStr">
        <is>
          <t>Corte</t>
        </is>
      </c>
      <c r="F138" s="11" t="n">
        <v>15</v>
      </c>
      <c r="G138" s="8" t="inlineStr">
        <is>
          <t>UN</t>
        </is>
      </c>
      <c r="H138" s="9" t="n">
        <v>5.9</v>
      </c>
      <c r="I138" s="8" t="inlineStr">
        <is>
          <t>MANUTENCAO</t>
        </is>
      </c>
      <c r="J138" s="8" t="inlineStr">
        <is>
          <t>Consumo</t>
        </is>
      </c>
      <c r="K138" s="9">
        <f>ROUND(tbConsumo[[#This Row],[Quantidade]]*tbConsumo[[#This Row],[Custo_Unitario]],2)</f>
        <v>88.5</v>
      </c>
      <c r="L138" s="11" t="str">
        <f>YEAR(tbConsumo[[#This Row],[Data]])&amp;"-"&amp;TEXT(MONTH(tbConsumo[[#This Row],[Data]]),"00")</f>
        <v>2026-07</v>
      </c>
    </row>
    <row r="139">
      <c r="A139" s="8" t="inlineStr">
        <is>
          <t>MOV0138</t>
        </is>
      </c>
      <c r="B139" s="13" t="n">
        <v>46234</v>
      </c>
      <c r="C139" s="8" t="inlineStr">
        <is>
          <t>MAT016</t>
        </is>
      </c>
      <c r="D139" s="8" t="inlineStr">
        <is>
          <t>Óculos de Proteção Incolor</t>
        </is>
      </c>
      <c r="E139" s="8" t="inlineStr">
        <is>
          <t>EPI</t>
        </is>
      </c>
      <c r="F139" s="11" t="n">
        <v>3</v>
      </c>
      <c r="G139" s="8" t="inlineStr">
        <is>
          <t>UN</t>
        </is>
      </c>
      <c r="H139" s="9" t="n">
        <v>6.5</v>
      </c>
      <c r="I139" s="8" t="inlineStr">
        <is>
          <t>FABRICACAO</t>
        </is>
      </c>
      <c r="J139" s="8" t="inlineStr">
        <is>
          <t>Consumo</t>
        </is>
      </c>
      <c r="K139" s="9">
        <f>ROUND(tbConsumo[[#This Row],[Quantidade]]*tbConsumo[[#This Row],[Custo_Unitario]],2)</f>
        <v>19.5</v>
      </c>
      <c r="L139" s="11" t="str">
        <f>YEAR(tbConsumo[[#This Row],[Data]])&amp;"-"&amp;TEXT(MONTH(tbConsumo[[#This Row],[Data]]),"00")</f>
        <v>2026-07</v>
      </c>
    </row>
    <row r="140">
      <c r="A140" s="8" t="inlineStr">
        <is>
          <t>MOV0139</t>
        </is>
      </c>
      <c r="B140" s="13" t="n">
        <v>46234</v>
      </c>
      <c r="C140" s="8" t="inlineStr">
        <is>
          <t>MAT009</t>
        </is>
      </c>
      <c r="D140" s="8" t="inlineStr">
        <is>
          <t>Serra Copo 51 mm</t>
        </is>
      </c>
      <c r="E140" s="8" t="inlineStr">
        <is>
          <t>Corte</t>
        </is>
      </c>
      <c r="F140" s="11" t="n">
        <v>1</v>
      </c>
      <c r="G140" s="8" t="inlineStr">
        <is>
          <t>UN</t>
        </is>
      </c>
      <c r="H140" s="9" t="n">
        <v>46</v>
      </c>
      <c r="I140" s="8" t="inlineStr">
        <is>
          <t>FABRICACAO</t>
        </is>
      </c>
      <c r="J140" s="8" t="inlineStr">
        <is>
          <t>Consumo</t>
        </is>
      </c>
      <c r="K140" s="9">
        <f>ROUND(tbConsumo[[#This Row],[Quantidade]]*tbConsumo[[#This Row],[Custo_Unitario]],2)</f>
        <v>46</v>
      </c>
      <c r="L140" s="11" t="str">
        <f>YEAR(tbConsumo[[#This Row],[Data]])&amp;"-"&amp;TEXT(MONTH(tbConsumo[[#This Row],[Data]]),"00")</f>
        <v>2026-07</v>
      </c>
    </row>
    <row r="141">
      <c r="A141" s="8" t="inlineStr">
        <is>
          <t>MOV0140</t>
        </is>
      </c>
      <c r="B141" s="13" t="n">
        <v>46234</v>
      </c>
      <c r="C141" s="8" t="inlineStr">
        <is>
          <t>MAT016</t>
        </is>
      </c>
      <c r="D141" s="8" t="inlineStr">
        <is>
          <t>Óculos de Proteção Incolor</t>
        </is>
      </c>
      <c r="E141" s="8" t="inlineStr">
        <is>
          <t>EPI</t>
        </is>
      </c>
      <c r="F141" s="11" t="n">
        <v>4</v>
      </c>
      <c r="G141" s="8" t="inlineStr">
        <is>
          <t>UN</t>
        </is>
      </c>
      <c r="H141" s="9" t="n">
        <v>6.5</v>
      </c>
      <c r="I141" s="8" t="inlineStr">
        <is>
          <t>FABRICACAO</t>
        </is>
      </c>
      <c r="J141" s="8" t="inlineStr">
        <is>
          <t>Consumo</t>
        </is>
      </c>
      <c r="K141" s="9">
        <f>ROUND(tbConsumo[[#This Row],[Quantidade]]*tbConsumo[[#This Row],[Custo_Unitario]],2)</f>
        <v>26</v>
      </c>
      <c r="L141" s="11" t="str">
        <f>YEAR(tbConsumo[[#This Row],[Data]])&amp;"-"&amp;TEXT(MONTH(tbConsumo[[#This Row],[Data]]),"00")</f>
        <v>2026-07</v>
      </c>
    </row>
    <row r="142">
      <c r="A142" s="8" t="inlineStr">
        <is>
          <t>MOV0141</t>
        </is>
      </c>
      <c r="B142" s="13" t="n">
        <v>46237</v>
      </c>
      <c r="C142" s="8" t="inlineStr">
        <is>
          <t>MAT009</t>
        </is>
      </c>
      <c r="D142" s="8" t="inlineStr">
        <is>
          <t>Serra Copo 51 mm</t>
        </is>
      </c>
      <c r="E142" s="8" t="inlineStr">
        <is>
          <t>Corte</t>
        </is>
      </c>
      <c r="F142" s="11" t="n">
        <v>2</v>
      </c>
      <c r="G142" s="8" t="inlineStr">
        <is>
          <t>UN</t>
        </is>
      </c>
      <c r="H142" s="9" t="n">
        <v>46</v>
      </c>
      <c r="I142" s="8" t="inlineStr">
        <is>
          <t>MANUTENCAO</t>
        </is>
      </c>
      <c r="J142" s="8" t="inlineStr">
        <is>
          <t>Consumo</t>
        </is>
      </c>
      <c r="K142" s="9">
        <f>ROUND(tbConsumo[[#This Row],[Quantidade]]*tbConsumo[[#This Row],[Custo_Unitario]],2)</f>
        <v>92</v>
      </c>
      <c r="L142" s="11" t="str">
        <f>YEAR(tbConsumo[[#This Row],[Data]])&amp;"-"&amp;TEXT(MONTH(tbConsumo[[#This Row],[Data]]),"00")</f>
        <v>2026-08</v>
      </c>
    </row>
    <row r="143">
      <c r="A143" s="8" t="inlineStr">
        <is>
          <t>MOV0142</t>
        </is>
      </c>
      <c r="B143" s="13" t="n">
        <v>46237</v>
      </c>
      <c r="C143" s="8" t="inlineStr">
        <is>
          <t>MAT002</t>
        </is>
      </c>
      <c r="D143" s="8" t="inlineStr">
        <is>
          <t>Disco Flap 4,5 pol Grão 60</t>
        </is>
      </c>
      <c r="E143" s="8" t="inlineStr">
        <is>
          <t>Abrasivos</t>
        </is>
      </c>
      <c r="F143" s="11" t="n">
        <v>6</v>
      </c>
      <c r="G143" s="8" t="inlineStr">
        <is>
          <t>UN</t>
        </is>
      </c>
      <c r="H143" s="9" t="n">
        <v>7.4</v>
      </c>
      <c r="I143" s="8" t="inlineStr">
        <is>
          <t>MANUTENCAO</t>
        </is>
      </c>
      <c r="J143" s="8" t="inlineStr">
        <is>
          <t>Consumo</t>
        </is>
      </c>
      <c r="K143" s="9">
        <f>ROUND(tbConsumo[[#This Row],[Quantidade]]*tbConsumo[[#This Row],[Custo_Unitario]],2)</f>
        <v>44.4</v>
      </c>
      <c r="L143" s="11" t="str">
        <f>YEAR(tbConsumo[[#This Row],[Data]])&amp;"-"&amp;TEXT(MONTH(tbConsumo[[#This Row],[Data]]),"00")</f>
        <v>2026-08</v>
      </c>
    </row>
    <row r="144">
      <c r="A144" s="8" t="inlineStr">
        <is>
          <t>MOV0143</t>
        </is>
      </c>
      <c r="B144" s="13" t="n">
        <v>46238</v>
      </c>
      <c r="C144" s="8" t="inlineStr">
        <is>
          <t>MAT004</t>
        </is>
      </c>
      <c r="D144" s="8" t="inlineStr">
        <is>
          <t>Bico de Contato MIG 1,0 mm</t>
        </is>
      </c>
      <c r="E144" s="8" t="inlineStr">
        <is>
          <t>Soldagem</t>
        </is>
      </c>
      <c r="F144" s="11" t="n">
        <v>1</v>
      </c>
      <c r="G144" s="8" t="inlineStr">
        <is>
          <t>PCT</t>
        </is>
      </c>
      <c r="H144" s="9" t="n">
        <v>45</v>
      </c>
      <c r="I144" s="8" t="inlineStr">
        <is>
          <t>SOLDAGEM</t>
        </is>
      </c>
      <c r="J144" s="8" t="inlineStr">
        <is>
          <t>Consumo</t>
        </is>
      </c>
      <c r="K144" s="9">
        <f>ROUND(tbConsumo[[#This Row],[Quantidade]]*tbConsumo[[#This Row],[Custo_Unitario]],2)</f>
        <v>45</v>
      </c>
      <c r="L144" s="11" t="str">
        <f>YEAR(tbConsumo[[#This Row],[Data]])&amp;"-"&amp;TEXT(MONTH(tbConsumo[[#This Row],[Data]]),"00")</f>
        <v>2026-08</v>
      </c>
    </row>
    <row r="145">
      <c r="A145" s="8" t="inlineStr">
        <is>
          <t>MOV0144</t>
        </is>
      </c>
      <c r="B145" s="13" t="n">
        <v>46238</v>
      </c>
      <c r="C145" s="8" t="inlineStr">
        <is>
          <t>MAT004</t>
        </is>
      </c>
      <c r="D145" s="8" t="inlineStr">
        <is>
          <t>Bico de Contato MIG 1,0 mm</t>
        </is>
      </c>
      <c r="E145" s="8" t="inlineStr">
        <is>
          <t>Soldagem</t>
        </is>
      </c>
      <c r="F145" s="11" t="n">
        <v>1</v>
      </c>
      <c r="G145" s="8" t="inlineStr">
        <is>
          <t>PCT</t>
        </is>
      </c>
      <c r="H145" s="9" t="n">
        <v>45</v>
      </c>
      <c r="I145" s="8" t="inlineStr">
        <is>
          <t>FABRICACAO</t>
        </is>
      </c>
      <c r="J145" s="8" t="inlineStr">
        <is>
          <t>Consumo</t>
        </is>
      </c>
      <c r="K145" s="9">
        <f>ROUND(tbConsumo[[#This Row],[Quantidade]]*tbConsumo[[#This Row],[Custo_Unitario]],2)</f>
        <v>45</v>
      </c>
      <c r="L145" s="11" t="str">
        <f>YEAR(tbConsumo[[#This Row],[Data]])&amp;"-"&amp;TEXT(MONTH(tbConsumo[[#This Row],[Data]]),"00")</f>
        <v>2026-08</v>
      </c>
    </row>
    <row r="146">
      <c r="A146" s="8" t="inlineStr">
        <is>
          <t>MOV0145</t>
        </is>
      </c>
      <c r="B146" s="13" t="n">
        <v>46239</v>
      </c>
      <c r="C146" s="8" t="inlineStr">
        <is>
          <t>MAT017</t>
        </is>
      </c>
      <c r="D146" s="8" t="inlineStr">
        <is>
          <t>Máscara Respiratória PFF2</t>
        </is>
      </c>
      <c r="E146" s="8" t="inlineStr">
        <is>
          <t>EPI</t>
        </is>
      </c>
      <c r="F146" s="11" t="n">
        <v>1</v>
      </c>
      <c r="G146" s="8" t="inlineStr">
        <is>
          <t>CX</t>
        </is>
      </c>
      <c r="H146" s="9" t="n">
        <v>72</v>
      </c>
      <c r="I146" s="8" t="inlineStr">
        <is>
          <t>ELETRICA</t>
        </is>
      </c>
      <c r="J146" s="8" t="inlineStr">
        <is>
          <t>Consumo</t>
        </is>
      </c>
      <c r="K146" s="9">
        <f>ROUND(tbConsumo[[#This Row],[Quantidade]]*tbConsumo[[#This Row],[Custo_Unitario]],2)</f>
        <v>72</v>
      </c>
      <c r="L146" s="11" t="str">
        <f>YEAR(tbConsumo[[#This Row],[Data]])&amp;"-"&amp;TEXT(MONTH(tbConsumo[[#This Row],[Data]]),"00")</f>
        <v>2026-08</v>
      </c>
    </row>
    <row r="147">
      <c r="A147" s="8" t="inlineStr">
        <is>
          <t>MOV0146</t>
        </is>
      </c>
      <c r="B147" s="13" t="n">
        <v>46240</v>
      </c>
      <c r="C147" s="8" t="inlineStr">
        <is>
          <t>MAT012</t>
        </is>
      </c>
      <c r="D147" s="8" t="inlineStr">
        <is>
          <t>Fita Isolante 19 mm</t>
        </is>
      </c>
      <c r="E147" s="8" t="inlineStr">
        <is>
          <t>Elétrica</t>
        </is>
      </c>
      <c r="F147" s="11" t="n">
        <v>1</v>
      </c>
      <c r="G147" s="8" t="inlineStr">
        <is>
          <t>PCT</t>
        </is>
      </c>
      <c r="H147" s="9" t="n">
        <v>42</v>
      </c>
      <c r="I147" s="8" t="inlineStr">
        <is>
          <t>ELETRICA</t>
        </is>
      </c>
      <c r="J147" s="8" t="inlineStr">
        <is>
          <t>Consumo</t>
        </is>
      </c>
      <c r="K147" s="9">
        <f>ROUND(tbConsumo[[#This Row],[Quantidade]]*tbConsumo[[#This Row],[Custo_Unitario]],2)</f>
        <v>42</v>
      </c>
      <c r="L147" s="11" t="str">
        <f>YEAR(tbConsumo[[#This Row],[Data]])&amp;"-"&amp;TEXT(MONTH(tbConsumo[[#This Row],[Data]]),"00")</f>
        <v>2026-08</v>
      </c>
    </row>
    <row r="148">
      <c r="A148" s="8" t="inlineStr">
        <is>
          <t>MOV0147</t>
        </is>
      </c>
      <c r="B148" s="13" t="n">
        <v>46241</v>
      </c>
      <c r="C148" s="8" t="inlineStr">
        <is>
          <t>MAT017</t>
        </is>
      </c>
      <c r="D148" s="8" t="inlineStr">
        <is>
          <t>Máscara Respiratória PFF2</t>
        </is>
      </c>
      <c r="E148" s="8" t="inlineStr">
        <is>
          <t>EPI</t>
        </is>
      </c>
      <c r="F148" s="11" t="n">
        <v>1</v>
      </c>
      <c r="G148" s="8" t="inlineStr">
        <is>
          <t>CX</t>
        </is>
      </c>
      <c r="H148" s="9" t="n">
        <v>72</v>
      </c>
      <c r="I148" s="8" t="inlineStr">
        <is>
          <t>MANUTENCAO</t>
        </is>
      </c>
      <c r="J148" s="8" t="inlineStr">
        <is>
          <t>Consumo</t>
        </is>
      </c>
      <c r="K148" s="9">
        <f>ROUND(tbConsumo[[#This Row],[Quantidade]]*tbConsumo[[#This Row],[Custo_Unitario]],2)</f>
        <v>72</v>
      </c>
      <c r="L148" s="11" t="str">
        <f>YEAR(tbConsumo[[#This Row],[Data]])&amp;"-"&amp;TEXT(MONTH(tbConsumo[[#This Row],[Data]]),"00")</f>
        <v>2026-08</v>
      </c>
    </row>
    <row r="149">
      <c r="A149" s="8" t="inlineStr">
        <is>
          <t>MOV0148</t>
        </is>
      </c>
      <c r="B149" s="13" t="n">
        <v>46241</v>
      </c>
      <c r="C149" s="8" t="inlineStr">
        <is>
          <t>MAT010</t>
        </is>
      </c>
      <c r="D149" s="8" t="inlineStr">
        <is>
          <t>Lâmina de Serra Sabre</t>
        </is>
      </c>
      <c r="E149" s="8" t="inlineStr">
        <is>
          <t>Corte</t>
        </is>
      </c>
      <c r="F149" s="11" t="n">
        <v>1</v>
      </c>
      <c r="G149" s="8" t="inlineStr">
        <is>
          <t>PCT</t>
        </is>
      </c>
      <c r="H149" s="9" t="n">
        <v>62</v>
      </c>
      <c r="I149" s="8" t="inlineStr">
        <is>
          <t>SOLDAGEM</t>
        </is>
      </c>
      <c r="J149" s="8" t="inlineStr">
        <is>
          <t>Consumo</t>
        </is>
      </c>
      <c r="K149" s="9">
        <f>ROUND(tbConsumo[[#This Row],[Quantidade]]*tbConsumo[[#This Row],[Custo_Unitario]],2)</f>
        <v>62</v>
      </c>
      <c r="L149" s="11" t="str">
        <f>YEAR(tbConsumo[[#This Row],[Data]])&amp;"-"&amp;TEXT(MONTH(tbConsumo[[#This Row],[Data]]),"00")</f>
        <v>2026-08</v>
      </c>
    </row>
    <row r="150">
      <c r="A150" s="8" t="inlineStr">
        <is>
          <t>MOV0149</t>
        </is>
      </c>
      <c r="B150" s="13" t="n">
        <v>46241</v>
      </c>
      <c r="C150" s="8" t="inlineStr">
        <is>
          <t>MAT008</t>
        </is>
      </c>
      <c r="D150" s="8" t="inlineStr">
        <is>
          <t>Disco de Corte 4,5 pol</t>
        </is>
      </c>
      <c r="E150" s="8" t="inlineStr">
        <is>
          <t>Corte</t>
        </is>
      </c>
      <c r="F150" s="11" t="n">
        <v>56</v>
      </c>
      <c r="G150" s="8" t="inlineStr">
        <is>
          <t>UN</t>
        </is>
      </c>
      <c r="H150" s="9" t="n">
        <v>5.9</v>
      </c>
      <c r="I150" s="8" t="inlineStr">
        <is>
          <t>SOLDAGEM</t>
        </is>
      </c>
      <c r="J150" s="8" t="inlineStr">
        <is>
          <t>Consumo</t>
        </is>
      </c>
      <c r="K150" s="9">
        <f>ROUND(tbConsumo[[#This Row],[Quantidade]]*tbConsumo[[#This Row],[Custo_Unitario]],2)</f>
        <v>330.4</v>
      </c>
      <c r="L150" s="11" t="str">
        <f>YEAR(tbConsumo[[#This Row],[Data]])&amp;"-"&amp;TEXT(MONTH(tbConsumo[[#This Row],[Data]]),"00")</f>
        <v>2026-08</v>
      </c>
    </row>
    <row r="151">
      <c r="A151" s="8" t="inlineStr">
        <is>
          <t>MOV0150</t>
        </is>
      </c>
      <c r="B151" s="13" t="n">
        <v>46244</v>
      </c>
      <c r="C151" s="8" t="inlineStr">
        <is>
          <t>MAT001</t>
        </is>
      </c>
      <c r="D151" s="8" t="inlineStr">
        <is>
          <t>Disco de Desbaste 7 pol</t>
        </is>
      </c>
      <c r="E151" s="8" t="inlineStr">
        <is>
          <t>Abrasivos</t>
        </is>
      </c>
      <c r="F151" s="11" t="n">
        <v>5</v>
      </c>
      <c r="G151" s="8" t="inlineStr">
        <is>
          <t>UN</t>
        </is>
      </c>
      <c r="H151" s="9" t="n">
        <v>9.800000000000001</v>
      </c>
      <c r="I151" s="8" t="inlineStr">
        <is>
          <t>MECANICA</t>
        </is>
      </c>
      <c r="J151" s="8" t="inlineStr">
        <is>
          <t>Consumo</t>
        </is>
      </c>
      <c r="K151" s="9">
        <f>ROUND(tbConsumo[[#This Row],[Quantidade]]*tbConsumo[[#This Row],[Custo_Unitario]],2)</f>
        <v>49</v>
      </c>
      <c r="L151" s="11" t="str">
        <f>YEAR(tbConsumo[[#This Row],[Data]])&amp;"-"&amp;TEXT(MONTH(tbConsumo[[#This Row],[Data]]),"00")</f>
        <v>2026-08</v>
      </c>
    </row>
    <row r="152">
      <c r="A152" s="8" t="inlineStr">
        <is>
          <t>MOV0151</t>
        </is>
      </c>
      <c r="B152" s="13" t="n">
        <v>46244</v>
      </c>
      <c r="C152" s="8" t="inlineStr">
        <is>
          <t>MAT008</t>
        </is>
      </c>
      <c r="D152" s="8" t="inlineStr">
        <is>
          <t>Disco de Corte 4,5 pol</t>
        </is>
      </c>
      <c r="E152" s="8" t="inlineStr">
        <is>
          <t>Corte</t>
        </is>
      </c>
      <c r="F152" s="11" t="n">
        <v>12</v>
      </c>
      <c r="G152" s="8" t="inlineStr">
        <is>
          <t>UN</t>
        </is>
      </c>
      <c r="H152" s="9" t="n">
        <v>5.9</v>
      </c>
      <c r="I152" s="8" t="inlineStr">
        <is>
          <t>FABRICACAO</t>
        </is>
      </c>
      <c r="J152" s="8" t="inlineStr">
        <is>
          <t>Consumo</t>
        </is>
      </c>
      <c r="K152" s="9">
        <f>ROUND(tbConsumo[[#This Row],[Quantidade]]*tbConsumo[[#This Row],[Custo_Unitario]],2)</f>
        <v>70.8</v>
      </c>
      <c r="L152" s="11" t="str">
        <f>YEAR(tbConsumo[[#This Row],[Data]])&amp;"-"&amp;TEXT(MONTH(tbConsumo[[#This Row],[Data]]),"00")</f>
        <v>2026-08</v>
      </c>
    </row>
    <row r="153">
      <c r="A153" s="8" t="inlineStr">
        <is>
          <t>MOV0152</t>
        </is>
      </c>
      <c r="B153" s="13" t="n">
        <v>46244</v>
      </c>
      <c r="C153" s="8" t="inlineStr">
        <is>
          <t>MAT015</t>
        </is>
      </c>
      <c r="D153" s="8" t="inlineStr">
        <is>
          <t>Luva de Raspa</t>
        </is>
      </c>
      <c r="E153" s="8" t="inlineStr">
        <is>
          <t>EPI</t>
        </is>
      </c>
      <c r="F153" s="11" t="n">
        <v>2</v>
      </c>
      <c r="G153" s="8" t="inlineStr">
        <is>
          <t>PAR</t>
        </is>
      </c>
      <c r="H153" s="9" t="n">
        <v>15</v>
      </c>
      <c r="I153" s="8" t="inlineStr">
        <is>
          <t>MECANICA</t>
        </is>
      </c>
      <c r="J153" s="8" t="inlineStr">
        <is>
          <t>Consumo</t>
        </is>
      </c>
      <c r="K153" s="9">
        <f>ROUND(tbConsumo[[#This Row],[Quantidade]]*tbConsumo[[#This Row],[Custo_Unitario]],2)</f>
        <v>30</v>
      </c>
      <c r="L153" s="11" t="str">
        <f>YEAR(tbConsumo[[#This Row],[Data]])&amp;"-"&amp;TEXT(MONTH(tbConsumo[[#This Row],[Data]]),"00")</f>
        <v>2026-08</v>
      </c>
    </row>
    <row r="154">
      <c r="A154" s="8" t="inlineStr">
        <is>
          <t>MOV0153</t>
        </is>
      </c>
      <c r="B154" s="13" t="n">
        <v>46244</v>
      </c>
      <c r="C154" s="8" t="inlineStr">
        <is>
          <t>MAT011</t>
        </is>
      </c>
      <c r="D154" s="8" t="inlineStr">
        <is>
          <t>Cabo Flexível 2,5 mm² Rolo</t>
        </is>
      </c>
      <c r="E154" s="8" t="inlineStr">
        <is>
          <t>Elétrica</t>
        </is>
      </c>
      <c r="F154" s="11" t="n">
        <v>1</v>
      </c>
      <c r="G154" s="8" t="inlineStr">
        <is>
          <t>UN</t>
        </is>
      </c>
      <c r="H154" s="9" t="n">
        <v>285</v>
      </c>
      <c r="I154" s="8" t="inlineStr">
        <is>
          <t>ELETRICA</t>
        </is>
      </c>
      <c r="J154" s="8" t="inlineStr">
        <is>
          <t>Consumo</t>
        </is>
      </c>
      <c r="K154" s="9">
        <f>ROUND(tbConsumo[[#This Row],[Quantidade]]*tbConsumo[[#This Row],[Custo_Unitario]],2)</f>
        <v>285</v>
      </c>
      <c r="L154" s="11" t="str">
        <f>YEAR(tbConsumo[[#This Row],[Data]])&amp;"-"&amp;TEXT(MONTH(tbConsumo[[#This Row],[Data]]),"00")</f>
        <v>2026-08</v>
      </c>
    </row>
    <row r="155">
      <c r="A155" s="8" t="inlineStr">
        <is>
          <t>MOV0154</t>
        </is>
      </c>
      <c r="B155" s="13" t="n">
        <v>46244</v>
      </c>
      <c r="C155" s="8" t="inlineStr">
        <is>
          <t>MAT005</t>
        </is>
      </c>
      <c r="D155" s="8" t="inlineStr">
        <is>
          <t>Eletrodo Revestido 2,5 mm</t>
        </is>
      </c>
      <c r="E155" s="8" t="inlineStr">
        <is>
          <t>Soldagem</t>
        </is>
      </c>
      <c r="F155" s="11" t="n">
        <v>4</v>
      </c>
      <c r="G155" s="8" t="inlineStr">
        <is>
          <t>CX</t>
        </is>
      </c>
      <c r="H155" s="9" t="n">
        <v>96</v>
      </c>
      <c r="I155" s="8" t="inlineStr">
        <is>
          <t>SOLDAGEM</t>
        </is>
      </c>
      <c r="J155" s="8" t="inlineStr">
        <is>
          <t>Consumo</t>
        </is>
      </c>
      <c r="K155" s="9">
        <f>ROUND(tbConsumo[[#This Row],[Quantidade]]*tbConsumo[[#This Row],[Custo_Unitario]],2)</f>
        <v>384</v>
      </c>
      <c r="L155" s="11" t="str">
        <f>YEAR(tbConsumo[[#This Row],[Data]])&amp;"-"&amp;TEXT(MONTH(tbConsumo[[#This Row],[Data]]),"00")</f>
        <v>2026-08</v>
      </c>
    </row>
    <row r="156">
      <c r="A156" s="8" t="inlineStr">
        <is>
          <t>MOV0155</t>
        </is>
      </c>
      <c r="B156" s="13" t="n">
        <v>46245</v>
      </c>
      <c r="C156" s="8" t="inlineStr">
        <is>
          <t>MAT015</t>
        </is>
      </c>
      <c r="D156" s="8" t="inlineStr">
        <is>
          <t>Luva de Raspa</t>
        </is>
      </c>
      <c r="E156" s="8" t="inlineStr">
        <is>
          <t>EPI</t>
        </is>
      </c>
      <c r="F156" s="11" t="n">
        <v>3</v>
      </c>
      <c r="G156" s="8" t="inlineStr">
        <is>
          <t>PAR</t>
        </is>
      </c>
      <c r="H156" s="9" t="n">
        <v>15</v>
      </c>
      <c r="I156" s="8" t="inlineStr">
        <is>
          <t>FABRICACAO</t>
        </is>
      </c>
      <c r="J156" s="8" t="inlineStr">
        <is>
          <t>Consumo</t>
        </is>
      </c>
      <c r="K156" s="9">
        <f>ROUND(tbConsumo[[#This Row],[Quantidade]]*tbConsumo[[#This Row],[Custo_Unitario]],2)</f>
        <v>45</v>
      </c>
      <c r="L156" s="11" t="str">
        <f>YEAR(tbConsumo[[#This Row],[Data]])&amp;"-"&amp;TEXT(MONTH(tbConsumo[[#This Row],[Data]]),"00")</f>
        <v>2026-08</v>
      </c>
    </row>
    <row r="157">
      <c r="A157" s="8" t="inlineStr">
        <is>
          <t>MOV0156</t>
        </is>
      </c>
      <c r="B157" s="13" t="n">
        <v>46245</v>
      </c>
      <c r="C157" s="8" t="inlineStr">
        <is>
          <t>MAT002</t>
        </is>
      </c>
      <c r="D157" s="8" t="inlineStr">
        <is>
          <t>Disco Flap 4,5 pol Grão 60</t>
        </is>
      </c>
      <c r="E157" s="8" t="inlineStr">
        <is>
          <t>Abrasivos</t>
        </is>
      </c>
      <c r="F157" s="11" t="n">
        <v>7</v>
      </c>
      <c r="G157" s="8" t="inlineStr">
        <is>
          <t>UN</t>
        </is>
      </c>
      <c r="H157" s="9" t="n">
        <v>7.4</v>
      </c>
      <c r="I157" s="8" t="inlineStr">
        <is>
          <t>MANUTENCAO</t>
        </is>
      </c>
      <c r="J157" s="8" t="inlineStr">
        <is>
          <t>Consumo</t>
        </is>
      </c>
      <c r="K157" s="9">
        <f>ROUND(tbConsumo[[#This Row],[Quantidade]]*tbConsumo[[#This Row],[Custo_Unitario]],2)</f>
        <v>51.8</v>
      </c>
      <c r="L157" s="11" t="str">
        <f>YEAR(tbConsumo[[#This Row],[Data]])&amp;"-"&amp;TEXT(MONTH(tbConsumo[[#This Row],[Data]]),"00")</f>
        <v>2026-08</v>
      </c>
    </row>
    <row r="158">
      <c r="A158" s="8" t="inlineStr">
        <is>
          <t>MOV0157</t>
        </is>
      </c>
      <c r="B158" s="13" t="n">
        <v>46245</v>
      </c>
      <c r="C158" s="8" t="inlineStr">
        <is>
          <t>MAT016</t>
        </is>
      </c>
      <c r="D158" s="8" t="inlineStr">
        <is>
          <t>Óculos de Proteção Incolor</t>
        </is>
      </c>
      <c r="E158" s="8" t="inlineStr">
        <is>
          <t>EPI</t>
        </is>
      </c>
      <c r="F158" s="11" t="n">
        <v>10</v>
      </c>
      <c r="G158" s="8" t="inlineStr">
        <is>
          <t>UN</t>
        </is>
      </c>
      <c r="H158" s="9" t="n">
        <v>6.5</v>
      </c>
      <c r="I158" s="8" t="inlineStr">
        <is>
          <t>MANUTENCAO</t>
        </is>
      </c>
      <c r="J158" s="8" t="inlineStr">
        <is>
          <t>Consumo</t>
        </is>
      </c>
      <c r="K158" s="9">
        <f>ROUND(tbConsumo[[#This Row],[Quantidade]]*tbConsumo[[#This Row],[Custo_Unitario]],2)</f>
        <v>65</v>
      </c>
      <c r="L158" s="11" t="str">
        <f>YEAR(tbConsumo[[#This Row],[Data]])&amp;"-"&amp;TEXT(MONTH(tbConsumo[[#This Row],[Data]]),"00")</f>
        <v>2026-08</v>
      </c>
    </row>
    <row r="159">
      <c r="A159" s="8" t="inlineStr">
        <is>
          <t>MOV0158</t>
        </is>
      </c>
      <c r="B159" s="13" t="n">
        <v>46245</v>
      </c>
      <c r="C159" s="8" t="inlineStr">
        <is>
          <t>MAT016</t>
        </is>
      </c>
      <c r="D159" s="8" t="inlineStr">
        <is>
          <t>Óculos de Proteção Incolor</t>
        </is>
      </c>
      <c r="E159" s="8" t="inlineStr">
        <is>
          <t>EPI</t>
        </is>
      </c>
      <c r="F159" s="11" t="n">
        <v>2</v>
      </c>
      <c r="G159" s="8" t="inlineStr">
        <is>
          <t>UN</t>
        </is>
      </c>
      <c r="H159" s="9" t="n">
        <v>6.5</v>
      </c>
      <c r="I159" s="8" t="inlineStr">
        <is>
          <t>MECANICA</t>
        </is>
      </c>
      <c r="J159" s="8" t="inlineStr">
        <is>
          <t>Consumo</t>
        </is>
      </c>
      <c r="K159" s="9">
        <f>ROUND(tbConsumo[[#This Row],[Quantidade]]*tbConsumo[[#This Row],[Custo_Unitario]],2)</f>
        <v>13</v>
      </c>
      <c r="L159" s="11" t="str">
        <f>YEAR(tbConsumo[[#This Row],[Data]])&amp;"-"&amp;TEXT(MONTH(tbConsumo[[#This Row],[Data]]),"00")</f>
        <v>2026-08</v>
      </c>
    </row>
    <row r="160">
      <c r="A160" s="8" t="inlineStr">
        <is>
          <t>MOV0159</t>
        </is>
      </c>
      <c r="B160" s="13" t="n">
        <v>46245</v>
      </c>
      <c r="C160" s="8" t="inlineStr">
        <is>
          <t>MAT003</t>
        </is>
      </c>
      <c r="D160" s="8" t="inlineStr">
        <is>
          <t>Lixa de Ferro Grão 80</t>
        </is>
      </c>
      <c r="E160" s="8" t="inlineStr">
        <is>
          <t>Abrasivos</t>
        </is>
      </c>
      <c r="F160" s="11" t="n">
        <v>4</v>
      </c>
      <c r="G160" s="8" t="inlineStr">
        <is>
          <t>PCT</t>
        </is>
      </c>
      <c r="H160" s="9" t="n">
        <v>38</v>
      </c>
      <c r="I160" s="8" t="inlineStr">
        <is>
          <t>MANUTENCAO</t>
        </is>
      </c>
      <c r="J160" s="8" t="inlineStr">
        <is>
          <t>Consumo</t>
        </is>
      </c>
      <c r="K160" s="9">
        <f>ROUND(tbConsumo[[#This Row],[Quantidade]]*tbConsumo[[#This Row],[Custo_Unitario]],2)</f>
        <v>152</v>
      </c>
      <c r="L160" s="11" t="str">
        <f>YEAR(tbConsumo[[#This Row],[Data]])&amp;"-"&amp;TEXT(MONTH(tbConsumo[[#This Row],[Data]]),"00")</f>
        <v>2026-08</v>
      </c>
    </row>
    <row r="161">
      <c r="A161" s="8" t="inlineStr">
        <is>
          <t>MOV0160</t>
        </is>
      </c>
      <c r="B161" s="13" t="n">
        <v>46247</v>
      </c>
      <c r="C161" s="8" t="inlineStr">
        <is>
          <t>MAT011</t>
        </is>
      </c>
      <c r="D161" s="8" t="inlineStr">
        <is>
          <t>Cabo Flexível 2,5 mm² Rolo</t>
        </is>
      </c>
      <c r="E161" s="8" t="inlineStr">
        <is>
          <t>Elétrica</t>
        </is>
      </c>
      <c r="F161" s="11" t="n">
        <v>1</v>
      </c>
      <c r="G161" s="8" t="inlineStr">
        <is>
          <t>UN</t>
        </is>
      </c>
      <c r="H161" s="9" t="n">
        <v>285</v>
      </c>
      <c r="I161" s="8" t="inlineStr">
        <is>
          <t>ELETRICA</t>
        </is>
      </c>
      <c r="J161" s="8" t="inlineStr">
        <is>
          <t>Consumo</t>
        </is>
      </c>
      <c r="K161" s="9">
        <f>ROUND(tbConsumo[[#This Row],[Quantidade]]*tbConsumo[[#This Row],[Custo_Unitario]],2)</f>
        <v>285</v>
      </c>
      <c r="L161" s="11" t="str">
        <f>YEAR(tbConsumo[[#This Row],[Data]])&amp;"-"&amp;TEXT(MONTH(tbConsumo[[#This Row],[Data]]),"00")</f>
        <v>2026-08</v>
      </c>
    </row>
    <row r="162">
      <c r="A162" s="8" t="inlineStr">
        <is>
          <t>MOV0161</t>
        </is>
      </c>
      <c r="B162" s="13" t="n">
        <v>46247</v>
      </c>
      <c r="C162" s="8" t="inlineStr">
        <is>
          <t>MAT008</t>
        </is>
      </c>
      <c r="D162" s="8" t="inlineStr">
        <is>
          <t>Disco de Corte 4,5 pol</t>
        </is>
      </c>
      <c r="E162" s="8" t="inlineStr">
        <is>
          <t>Corte</t>
        </is>
      </c>
      <c r="F162" s="11" t="n">
        <v>27</v>
      </c>
      <c r="G162" s="8" t="inlineStr">
        <is>
          <t>UN</t>
        </is>
      </c>
      <c r="H162" s="9" t="n">
        <v>5.9</v>
      </c>
      <c r="I162" s="8" t="inlineStr">
        <is>
          <t>MECANICA</t>
        </is>
      </c>
      <c r="J162" s="8" t="inlineStr">
        <is>
          <t>Consumo</t>
        </is>
      </c>
      <c r="K162" s="9">
        <f>ROUND(tbConsumo[[#This Row],[Quantidade]]*tbConsumo[[#This Row],[Custo_Unitario]],2)</f>
        <v>159.3</v>
      </c>
      <c r="L162" s="11" t="str">
        <f>YEAR(tbConsumo[[#This Row],[Data]])&amp;"-"&amp;TEXT(MONTH(tbConsumo[[#This Row],[Data]]),"00")</f>
        <v>2026-08</v>
      </c>
    </row>
    <row r="163">
      <c r="A163" s="8" t="inlineStr">
        <is>
          <t>MOV0162</t>
        </is>
      </c>
      <c r="B163" s="13" t="n">
        <v>46248</v>
      </c>
      <c r="C163" s="8" t="inlineStr">
        <is>
          <t>MAT002</t>
        </is>
      </c>
      <c r="D163" s="8" t="inlineStr">
        <is>
          <t>Disco Flap 4,5 pol Grão 60</t>
        </is>
      </c>
      <c r="E163" s="8" t="inlineStr">
        <is>
          <t>Abrasivos</t>
        </is>
      </c>
      <c r="F163" s="11" t="n">
        <v>5</v>
      </c>
      <c r="G163" s="8" t="inlineStr">
        <is>
          <t>UN</t>
        </is>
      </c>
      <c r="H163" s="9" t="n">
        <v>7.4</v>
      </c>
      <c r="I163" s="8" t="inlineStr">
        <is>
          <t>MECANICA</t>
        </is>
      </c>
      <c r="J163" s="8" t="inlineStr">
        <is>
          <t>Consumo</t>
        </is>
      </c>
      <c r="K163" s="9">
        <f>ROUND(tbConsumo[[#This Row],[Quantidade]]*tbConsumo[[#This Row],[Custo_Unitario]],2)</f>
        <v>37</v>
      </c>
      <c r="L163" s="11" t="str">
        <f>YEAR(tbConsumo[[#This Row],[Data]])&amp;"-"&amp;TEXT(MONTH(tbConsumo[[#This Row],[Data]]),"00")</f>
        <v>2026-08</v>
      </c>
    </row>
    <row r="164">
      <c r="A164" s="8" t="inlineStr">
        <is>
          <t>MOV0163</t>
        </is>
      </c>
      <c r="B164" s="13" t="n">
        <v>46248</v>
      </c>
      <c r="C164" s="8" t="inlineStr">
        <is>
          <t>MAT003</t>
        </is>
      </c>
      <c r="D164" s="8" t="inlineStr">
        <is>
          <t>Lixa de Ferro Grão 80</t>
        </is>
      </c>
      <c r="E164" s="8" t="inlineStr">
        <is>
          <t>Abrasivos</t>
        </is>
      </c>
      <c r="F164" s="11" t="n">
        <v>1</v>
      </c>
      <c r="G164" s="8" t="inlineStr">
        <is>
          <t>PCT</t>
        </is>
      </c>
      <c r="H164" s="9" t="n">
        <v>38</v>
      </c>
      <c r="I164" s="8" t="inlineStr">
        <is>
          <t>SOLDAGEM</t>
        </is>
      </c>
      <c r="J164" s="8" t="inlineStr">
        <is>
          <t>Consumo</t>
        </is>
      </c>
      <c r="K164" s="9">
        <f>ROUND(tbConsumo[[#This Row],[Quantidade]]*tbConsumo[[#This Row],[Custo_Unitario]],2)</f>
        <v>38</v>
      </c>
      <c r="L164" s="11" t="str">
        <f>YEAR(tbConsumo[[#This Row],[Data]])&amp;"-"&amp;TEXT(MONTH(tbConsumo[[#This Row],[Data]]),"00")</f>
        <v>2026-08</v>
      </c>
    </row>
    <row r="165">
      <c r="A165" s="8" t="inlineStr">
        <is>
          <t>MOV0164</t>
        </is>
      </c>
      <c r="B165" s="13" t="n">
        <v>46248</v>
      </c>
      <c r="C165" s="8" t="inlineStr">
        <is>
          <t>MAT005</t>
        </is>
      </c>
      <c r="D165" s="8" t="inlineStr">
        <is>
          <t>Eletrodo Revestido 2,5 mm</t>
        </is>
      </c>
      <c r="E165" s="8" t="inlineStr">
        <is>
          <t>Soldagem</t>
        </is>
      </c>
      <c r="F165" s="11" t="n">
        <v>3</v>
      </c>
      <c r="G165" s="8" t="inlineStr">
        <is>
          <t>CX</t>
        </is>
      </c>
      <c r="H165" s="9" t="n">
        <v>96</v>
      </c>
      <c r="I165" s="8" t="inlineStr">
        <is>
          <t>MANUTENCAO</t>
        </is>
      </c>
      <c r="J165" s="8" t="inlineStr">
        <is>
          <t>Consumo</t>
        </is>
      </c>
      <c r="K165" s="9">
        <f>ROUND(tbConsumo[[#This Row],[Quantidade]]*tbConsumo[[#This Row],[Custo_Unitario]],2)</f>
        <v>288</v>
      </c>
      <c r="L165" s="11" t="str">
        <f>YEAR(tbConsumo[[#This Row],[Data]])&amp;"-"&amp;TEXT(MONTH(tbConsumo[[#This Row],[Data]]),"00")</f>
        <v>2026-08</v>
      </c>
    </row>
    <row r="166">
      <c r="A166" s="8" t="inlineStr">
        <is>
          <t>MOV0165</t>
        </is>
      </c>
      <c r="B166" s="13" t="n">
        <v>46249</v>
      </c>
      <c r="C166" s="8" t="inlineStr">
        <is>
          <t>MAT013</t>
        </is>
      </c>
      <c r="D166" s="8" t="inlineStr">
        <is>
          <t>Terminal de Compressão 6 mm²</t>
        </is>
      </c>
      <c r="E166" s="8" t="inlineStr">
        <is>
          <t>Elétrica</t>
        </is>
      </c>
      <c r="F166" s="11" t="n">
        <v>3</v>
      </c>
      <c r="G166" s="8" t="inlineStr">
        <is>
          <t>PCT</t>
        </is>
      </c>
      <c r="H166" s="9" t="n">
        <v>28</v>
      </c>
      <c r="I166" s="8" t="inlineStr">
        <is>
          <t>SOLDAGEM</t>
        </is>
      </c>
      <c r="J166" s="8" t="inlineStr">
        <is>
          <t>Consumo</t>
        </is>
      </c>
      <c r="K166" s="9">
        <f>ROUND(tbConsumo[[#This Row],[Quantidade]]*tbConsumo[[#This Row],[Custo_Unitario]],2)</f>
        <v>84</v>
      </c>
      <c r="L166" s="11" t="str">
        <f>YEAR(tbConsumo[[#This Row],[Data]])&amp;"-"&amp;TEXT(MONTH(tbConsumo[[#This Row],[Data]]),"00")</f>
        <v>2026-08</v>
      </c>
    </row>
    <row r="167">
      <c r="A167" s="8" t="inlineStr">
        <is>
          <t>MOV0166</t>
        </is>
      </c>
      <c r="B167" s="13" t="n">
        <v>46251</v>
      </c>
      <c r="C167" s="8" t="inlineStr">
        <is>
          <t>MAT007</t>
        </is>
      </c>
      <c r="D167" s="8" t="inlineStr">
        <is>
          <t>Disco de Corte 7 pol</t>
        </is>
      </c>
      <c r="E167" s="8" t="inlineStr">
        <is>
          <t>Corte</t>
        </is>
      </c>
      <c r="F167" s="11" t="n">
        <v>7</v>
      </c>
      <c r="G167" s="8" t="inlineStr">
        <is>
          <t>UN</t>
        </is>
      </c>
      <c r="H167" s="9" t="n">
        <v>12.5</v>
      </c>
      <c r="I167" s="8" t="inlineStr">
        <is>
          <t>FABRICACAO</t>
        </is>
      </c>
      <c r="J167" s="8" t="inlineStr">
        <is>
          <t>Consumo</t>
        </is>
      </c>
      <c r="K167" s="9">
        <f>ROUND(tbConsumo[[#This Row],[Quantidade]]*tbConsumo[[#This Row],[Custo_Unitario]],2)</f>
        <v>87.5</v>
      </c>
      <c r="L167" s="11" t="str">
        <f>YEAR(tbConsumo[[#This Row],[Data]])&amp;"-"&amp;TEXT(MONTH(tbConsumo[[#This Row],[Data]]),"00")</f>
        <v>2026-08</v>
      </c>
    </row>
    <row r="168">
      <c r="A168" s="8" t="inlineStr">
        <is>
          <t>MOV0167</t>
        </is>
      </c>
      <c r="B168" s="13" t="n">
        <v>46251</v>
      </c>
      <c r="C168" s="8" t="inlineStr">
        <is>
          <t>MAT014</t>
        </is>
      </c>
      <c r="D168" s="8" t="inlineStr">
        <is>
          <t>Disjuntor Tripolar 32 A</t>
        </is>
      </c>
      <c r="E168" s="8" t="inlineStr">
        <is>
          <t>Elétrica</t>
        </is>
      </c>
      <c r="F168" s="11" t="n">
        <v>2</v>
      </c>
      <c r="G168" s="8" t="inlineStr">
        <is>
          <t>UN</t>
        </is>
      </c>
      <c r="H168" s="9" t="n">
        <v>118</v>
      </c>
      <c r="I168" s="8" t="inlineStr">
        <is>
          <t>ELETRICA</t>
        </is>
      </c>
      <c r="J168" s="8" t="inlineStr">
        <is>
          <t>Consumo</t>
        </is>
      </c>
      <c r="K168" s="9">
        <f>ROUND(tbConsumo[[#This Row],[Quantidade]]*tbConsumo[[#This Row],[Custo_Unitario]],2)</f>
        <v>236</v>
      </c>
      <c r="L168" s="11" t="str">
        <f>YEAR(tbConsumo[[#This Row],[Data]])&amp;"-"&amp;TEXT(MONTH(tbConsumo[[#This Row],[Data]]),"00")</f>
        <v>2026-08</v>
      </c>
    </row>
    <row r="169">
      <c r="A169" s="8" t="inlineStr">
        <is>
          <t>MOV0168</t>
        </is>
      </c>
      <c r="B169" s="13" t="n">
        <v>46251</v>
      </c>
      <c r="C169" s="8" t="inlineStr">
        <is>
          <t>MAT017</t>
        </is>
      </c>
      <c r="D169" s="8" t="inlineStr">
        <is>
          <t>Máscara Respiratória PFF2</t>
        </is>
      </c>
      <c r="E169" s="8" t="inlineStr">
        <is>
          <t>EPI</t>
        </is>
      </c>
      <c r="F169" s="11" t="n">
        <v>2</v>
      </c>
      <c r="G169" s="8" t="inlineStr">
        <is>
          <t>CX</t>
        </is>
      </c>
      <c r="H169" s="9" t="n">
        <v>72</v>
      </c>
      <c r="I169" s="8" t="inlineStr">
        <is>
          <t>MECANICA</t>
        </is>
      </c>
      <c r="J169" s="8" t="inlineStr">
        <is>
          <t>Consumo</t>
        </is>
      </c>
      <c r="K169" s="9">
        <f>ROUND(tbConsumo[[#This Row],[Quantidade]]*tbConsumo[[#This Row],[Custo_Unitario]],2)</f>
        <v>144</v>
      </c>
      <c r="L169" s="11" t="str">
        <f>YEAR(tbConsumo[[#This Row],[Data]])&amp;"-"&amp;TEXT(MONTH(tbConsumo[[#This Row],[Data]]),"00")</f>
        <v>2026-08</v>
      </c>
    </row>
    <row r="170">
      <c r="A170" s="8" t="inlineStr">
        <is>
          <t>MOV0169</t>
        </is>
      </c>
      <c r="B170" s="13" t="n">
        <v>46251</v>
      </c>
      <c r="C170" s="8" t="inlineStr">
        <is>
          <t>MAT016</t>
        </is>
      </c>
      <c r="D170" s="8" t="inlineStr">
        <is>
          <t>Óculos de Proteção Incolor</t>
        </is>
      </c>
      <c r="E170" s="8" t="inlineStr">
        <is>
          <t>EPI</t>
        </is>
      </c>
      <c r="F170" s="11" t="n">
        <v>7</v>
      </c>
      <c r="G170" s="8" t="inlineStr">
        <is>
          <t>UN</t>
        </is>
      </c>
      <c r="H170" s="9" t="n">
        <v>6.5</v>
      </c>
      <c r="I170" s="8" t="inlineStr">
        <is>
          <t>MECANICA</t>
        </is>
      </c>
      <c r="J170" s="8" t="inlineStr">
        <is>
          <t>Consumo</t>
        </is>
      </c>
      <c r="K170" s="9">
        <f>ROUND(tbConsumo[[#This Row],[Quantidade]]*tbConsumo[[#This Row],[Custo_Unitario]],2)</f>
        <v>45.5</v>
      </c>
      <c r="L170" s="11" t="str">
        <f>YEAR(tbConsumo[[#This Row],[Data]])&amp;"-"&amp;TEXT(MONTH(tbConsumo[[#This Row],[Data]]),"00")</f>
        <v>2026-08</v>
      </c>
    </row>
    <row r="171">
      <c r="A171" s="8" t="inlineStr">
        <is>
          <t>MOV0170</t>
        </is>
      </c>
      <c r="B171" s="13" t="n">
        <v>46253</v>
      </c>
      <c r="C171" s="8" t="inlineStr">
        <is>
          <t>MAT007</t>
        </is>
      </c>
      <c r="D171" s="8" t="inlineStr">
        <is>
          <t>Disco de Corte 7 pol</t>
        </is>
      </c>
      <c r="E171" s="8" t="inlineStr">
        <is>
          <t>Corte</t>
        </is>
      </c>
      <c r="F171" s="11" t="n">
        <v>13</v>
      </c>
      <c r="G171" s="8" t="inlineStr">
        <is>
          <t>UN</t>
        </is>
      </c>
      <c r="H171" s="9" t="n">
        <v>12.5</v>
      </c>
      <c r="I171" s="8" t="inlineStr">
        <is>
          <t>SOLDAGEM</t>
        </is>
      </c>
      <c r="J171" s="8" t="inlineStr">
        <is>
          <t>Consumo</t>
        </is>
      </c>
      <c r="K171" s="9">
        <f>ROUND(tbConsumo[[#This Row],[Quantidade]]*tbConsumo[[#This Row],[Custo_Unitario]],2)</f>
        <v>162.5</v>
      </c>
      <c r="L171" s="11" t="str">
        <f>YEAR(tbConsumo[[#This Row],[Data]])&amp;"-"&amp;TEXT(MONTH(tbConsumo[[#This Row],[Data]]),"00")</f>
        <v>2026-08</v>
      </c>
    </row>
    <row r="172">
      <c r="A172" s="8" t="inlineStr">
        <is>
          <t>MOV0171</t>
        </is>
      </c>
      <c r="B172" s="13" t="n">
        <v>46253</v>
      </c>
      <c r="C172" s="8" t="inlineStr">
        <is>
          <t>MAT007</t>
        </is>
      </c>
      <c r="D172" s="8" t="inlineStr">
        <is>
          <t>Disco de Corte 7 pol</t>
        </is>
      </c>
      <c r="E172" s="8" t="inlineStr">
        <is>
          <t>Corte</t>
        </is>
      </c>
      <c r="F172" s="11" t="n">
        <v>15</v>
      </c>
      <c r="G172" s="8" t="inlineStr">
        <is>
          <t>UN</t>
        </is>
      </c>
      <c r="H172" s="9" t="n">
        <v>12.5</v>
      </c>
      <c r="I172" s="8" t="inlineStr">
        <is>
          <t>FABRICACAO</t>
        </is>
      </c>
      <c r="J172" s="8" t="inlineStr">
        <is>
          <t>Consumo</t>
        </is>
      </c>
      <c r="K172" s="9">
        <f>ROUND(tbConsumo[[#This Row],[Quantidade]]*tbConsumo[[#This Row],[Custo_Unitario]],2)</f>
        <v>187.5</v>
      </c>
      <c r="L172" s="11" t="str">
        <f>YEAR(tbConsumo[[#This Row],[Data]])&amp;"-"&amp;TEXT(MONTH(tbConsumo[[#This Row],[Data]]),"00")</f>
        <v>2026-08</v>
      </c>
    </row>
    <row r="173">
      <c r="A173" s="8" t="inlineStr">
        <is>
          <t>MOV0172</t>
        </is>
      </c>
      <c r="B173" s="13" t="n">
        <v>46254</v>
      </c>
      <c r="C173" s="8" t="inlineStr">
        <is>
          <t>MAT002</t>
        </is>
      </c>
      <c r="D173" s="8" t="inlineStr">
        <is>
          <t>Disco Flap 4,5 pol Grão 60</t>
        </is>
      </c>
      <c r="E173" s="8" t="inlineStr">
        <is>
          <t>Abrasivos</t>
        </is>
      </c>
      <c r="F173" s="11" t="n">
        <v>17</v>
      </c>
      <c r="G173" s="8" t="inlineStr">
        <is>
          <t>UN</t>
        </is>
      </c>
      <c r="H173" s="9" t="n">
        <v>7.4</v>
      </c>
      <c r="I173" s="8" t="inlineStr">
        <is>
          <t>FABRICACAO</t>
        </is>
      </c>
      <c r="J173" s="8" t="inlineStr">
        <is>
          <t>Consumo</t>
        </is>
      </c>
      <c r="K173" s="9">
        <f>ROUND(tbConsumo[[#This Row],[Quantidade]]*tbConsumo[[#This Row],[Custo_Unitario]],2)</f>
        <v>125.8</v>
      </c>
      <c r="L173" s="11" t="str">
        <f>YEAR(tbConsumo[[#This Row],[Data]])&amp;"-"&amp;TEXT(MONTH(tbConsumo[[#This Row],[Data]]),"00")</f>
        <v>2026-08</v>
      </c>
    </row>
    <row r="174">
      <c r="A174" s="8" t="inlineStr">
        <is>
          <t>MOV0173</t>
        </is>
      </c>
      <c r="B174" s="13" t="n">
        <v>46255</v>
      </c>
      <c r="C174" s="8" t="inlineStr">
        <is>
          <t>MAT020</t>
        </is>
      </c>
      <c r="D174" s="8" t="inlineStr">
        <is>
          <t>Broca de Aço Rápido 10 mm</t>
        </is>
      </c>
      <c r="E174" s="8" t="inlineStr">
        <is>
          <t>Ferramentas</t>
        </is>
      </c>
      <c r="F174" s="11" t="n">
        <v>4</v>
      </c>
      <c r="G174" s="8" t="inlineStr">
        <is>
          <t>UN</t>
        </is>
      </c>
      <c r="H174" s="9" t="n">
        <v>21</v>
      </c>
      <c r="I174" s="8" t="inlineStr">
        <is>
          <t>MANUTENCAO</t>
        </is>
      </c>
      <c r="J174" s="8" t="inlineStr">
        <is>
          <t>Consumo</t>
        </is>
      </c>
      <c r="K174" s="9">
        <f>ROUND(tbConsumo[[#This Row],[Quantidade]]*tbConsumo[[#This Row],[Custo_Unitario]],2)</f>
        <v>84</v>
      </c>
      <c r="L174" s="11" t="str">
        <f>YEAR(tbConsumo[[#This Row],[Data]])&amp;"-"&amp;TEXT(MONTH(tbConsumo[[#This Row],[Data]]),"00")</f>
        <v>2026-08</v>
      </c>
    </row>
    <row r="175">
      <c r="A175" s="8" t="inlineStr">
        <is>
          <t>MOV0174</t>
        </is>
      </c>
      <c r="B175" s="13" t="n">
        <v>46261</v>
      </c>
      <c r="C175" s="8" t="inlineStr">
        <is>
          <t>MAT011</t>
        </is>
      </c>
      <c r="D175" s="8" t="inlineStr">
        <is>
          <t>Cabo Flexível 2,5 mm² Rolo</t>
        </is>
      </c>
      <c r="E175" s="8" t="inlineStr">
        <is>
          <t>Elétrica</t>
        </is>
      </c>
      <c r="F175" s="11" t="n">
        <v>1</v>
      </c>
      <c r="G175" s="8" t="inlineStr">
        <is>
          <t>UN</t>
        </is>
      </c>
      <c r="H175" s="9" t="n">
        <v>285</v>
      </c>
      <c r="I175" s="8" t="inlineStr">
        <is>
          <t>ELETRICA</t>
        </is>
      </c>
      <c r="J175" s="8" t="inlineStr">
        <is>
          <t>Consumo</t>
        </is>
      </c>
      <c r="K175" s="9">
        <f>ROUND(tbConsumo[[#This Row],[Quantidade]]*tbConsumo[[#This Row],[Custo_Unitario]],2)</f>
        <v>285</v>
      </c>
      <c r="L175" s="11" t="str">
        <f>YEAR(tbConsumo[[#This Row],[Data]])&amp;"-"&amp;TEXT(MONTH(tbConsumo[[#This Row],[Data]]),"00")</f>
        <v>2026-08</v>
      </c>
    </row>
    <row r="176">
      <c r="A176" s="8" t="inlineStr">
        <is>
          <t>MOV0175</t>
        </is>
      </c>
      <c r="B176" s="13" t="n">
        <v>46261</v>
      </c>
      <c r="C176" s="8" t="inlineStr">
        <is>
          <t>MAT008</t>
        </is>
      </c>
      <c r="D176" s="8" t="inlineStr">
        <is>
          <t>Disco de Corte 4,5 pol</t>
        </is>
      </c>
      <c r="E176" s="8" t="inlineStr">
        <is>
          <t>Corte</t>
        </is>
      </c>
      <c r="F176" s="11" t="n">
        <v>30</v>
      </c>
      <c r="G176" s="8" t="inlineStr">
        <is>
          <t>UN</t>
        </is>
      </c>
      <c r="H176" s="9" t="n">
        <v>5.9</v>
      </c>
      <c r="I176" s="8" t="inlineStr">
        <is>
          <t>FABRICACAO</t>
        </is>
      </c>
      <c r="J176" s="8" t="inlineStr">
        <is>
          <t>Consumo</t>
        </is>
      </c>
      <c r="K176" s="9">
        <f>ROUND(tbConsumo[[#This Row],[Quantidade]]*tbConsumo[[#This Row],[Custo_Unitario]],2)</f>
        <v>177</v>
      </c>
      <c r="L176" s="11" t="str">
        <f>YEAR(tbConsumo[[#This Row],[Data]])&amp;"-"&amp;TEXT(MONTH(tbConsumo[[#This Row],[Data]]),"00")</f>
        <v>2026-08</v>
      </c>
    </row>
    <row r="177">
      <c r="A177" s="8" t="inlineStr">
        <is>
          <t>MOV0176</t>
        </is>
      </c>
      <c r="B177" s="13" t="n">
        <v>46261</v>
      </c>
      <c r="C177" s="8" t="inlineStr">
        <is>
          <t>MAT017</t>
        </is>
      </c>
      <c r="D177" s="8" t="inlineStr">
        <is>
          <t>Máscara Respiratória PFF2</t>
        </is>
      </c>
      <c r="E177" s="8" t="inlineStr">
        <is>
          <t>EPI</t>
        </is>
      </c>
      <c r="F177" s="11" t="n">
        <v>3</v>
      </c>
      <c r="G177" s="8" t="inlineStr">
        <is>
          <t>CX</t>
        </is>
      </c>
      <c r="H177" s="9" t="n">
        <v>72</v>
      </c>
      <c r="I177" s="8" t="inlineStr">
        <is>
          <t>SOLDAGEM</t>
        </is>
      </c>
      <c r="J177" s="8" t="inlineStr">
        <is>
          <t>Consumo</t>
        </is>
      </c>
      <c r="K177" s="9">
        <f>ROUND(tbConsumo[[#This Row],[Quantidade]]*tbConsumo[[#This Row],[Custo_Unitario]],2)</f>
        <v>216</v>
      </c>
      <c r="L177" s="11" t="str">
        <f>YEAR(tbConsumo[[#This Row],[Data]])&amp;"-"&amp;TEXT(MONTH(tbConsumo[[#This Row],[Data]]),"00")</f>
        <v>2026-08</v>
      </c>
    </row>
    <row r="178">
      <c r="A178" s="8" t="inlineStr">
        <is>
          <t>MOV0177</t>
        </is>
      </c>
      <c r="B178" s="13" t="n">
        <v>46262</v>
      </c>
      <c r="C178" s="8" t="inlineStr">
        <is>
          <t>MAT003</t>
        </is>
      </c>
      <c r="D178" s="8" t="inlineStr">
        <is>
          <t>Lixa de Ferro Grão 80</t>
        </is>
      </c>
      <c r="E178" s="8" t="inlineStr">
        <is>
          <t>Abrasivos</t>
        </is>
      </c>
      <c r="F178" s="11" t="n">
        <v>1</v>
      </c>
      <c r="G178" s="8" t="inlineStr">
        <is>
          <t>PCT</t>
        </is>
      </c>
      <c r="H178" s="9" t="n">
        <v>38</v>
      </c>
      <c r="I178" s="8" t="inlineStr">
        <is>
          <t>MANUTENCAO</t>
        </is>
      </c>
      <c r="J178" s="8" t="inlineStr">
        <is>
          <t>Consumo</t>
        </is>
      </c>
      <c r="K178" s="9">
        <f>ROUND(tbConsumo[[#This Row],[Quantidade]]*tbConsumo[[#This Row],[Custo_Unitario]],2)</f>
        <v>38</v>
      </c>
      <c r="L178" s="11" t="str">
        <f>YEAR(tbConsumo[[#This Row],[Data]])&amp;"-"&amp;TEXT(MONTH(tbConsumo[[#This Row],[Data]]),"00")</f>
        <v>2026-08</v>
      </c>
    </row>
    <row r="179">
      <c r="A179" s="8" t="inlineStr">
        <is>
          <t>MOV0178</t>
        </is>
      </c>
      <c r="B179" s="13" t="n">
        <v>46262</v>
      </c>
      <c r="C179" s="8" t="inlineStr">
        <is>
          <t>MAT008</t>
        </is>
      </c>
      <c r="D179" s="8" t="inlineStr">
        <is>
          <t>Disco de Corte 4,5 pol</t>
        </is>
      </c>
      <c r="E179" s="8" t="inlineStr">
        <is>
          <t>Corte</t>
        </is>
      </c>
      <c r="F179" s="11" t="n">
        <v>57</v>
      </c>
      <c r="G179" s="8" t="inlineStr">
        <is>
          <t>UN</t>
        </is>
      </c>
      <c r="H179" s="9" t="n">
        <v>5.9</v>
      </c>
      <c r="I179" s="8" t="inlineStr">
        <is>
          <t>SOLDAGEM</t>
        </is>
      </c>
      <c r="J179" s="8" t="inlineStr">
        <is>
          <t>Consumo</t>
        </is>
      </c>
      <c r="K179" s="9">
        <f>ROUND(tbConsumo[[#This Row],[Quantidade]]*tbConsumo[[#This Row],[Custo_Unitario]],2)</f>
        <v>336.3</v>
      </c>
      <c r="L179" s="11" t="str">
        <f>YEAR(tbConsumo[[#This Row],[Data]])&amp;"-"&amp;TEXT(MONTH(tbConsumo[[#This Row],[Data]]),"00")</f>
        <v>2026-08</v>
      </c>
    </row>
    <row r="180">
      <c r="A180" s="8" t="inlineStr">
        <is>
          <t>MOV0179</t>
        </is>
      </c>
      <c r="B180" s="13" t="n">
        <v>46265</v>
      </c>
      <c r="C180" s="8" t="inlineStr">
        <is>
          <t>MAT008</t>
        </is>
      </c>
      <c r="D180" s="8" t="inlineStr">
        <is>
          <t>Disco de Corte 4,5 pol</t>
        </is>
      </c>
      <c r="E180" s="8" t="inlineStr">
        <is>
          <t>Corte</t>
        </is>
      </c>
      <c r="F180" s="11" t="n">
        <v>17</v>
      </c>
      <c r="G180" s="8" t="inlineStr">
        <is>
          <t>UN</t>
        </is>
      </c>
      <c r="H180" s="9" t="n">
        <v>5.9</v>
      </c>
      <c r="I180" s="8" t="inlineStr">
        <is>
          <t>MECANICA</t>
        </is>
      </c>
      <c r="J180" s="8" t="inlineStr">
        <is>
          <t>Consumo</t>
        </is>
      </c>
      <c r="K180" s="9">
        <f>ROUND(tbConsumo[[#This Row],[Quantidade]]*tbConsumo[[#This Row],[Custo_Unitario]],2)</f>
        <v>100.3</v>
      </c>
      <c r="L180" s="11" t="str">
        <f>YEAR(tbConsumo[[#This Row],[Data]])&amp;"-"&amp;TEXT(MONTH(tbConsumo[[#This Row],[Data]]),"00")</f>
        <v>2026-08</v>
      </c>
    </row>
    <row r="181">
      <c r="A181" s="8" t="inlineStr">
        <is>
          <t>MOV0180</t>
        </is>
      </c>
      <c r="B181" s="13" t="n">
        <v>46265</v>
      </c>
      <c r="C181" s="8" t="inlineStr">
        <is>
          <t>MAT007</t>
        </is>
      </c>
      <c r="D181" s="8" t="inlineStr">
        <is>
          <t>Disco de Corte 7 pol</t>
        </is>
      </c>
      <c r="E181" s="8" t="inlineStr">
        <is>
          <t>Corte</t>
        </is>
      </c>
      <c r="F181" s="11" t="n">
        <v>12</v>
      </c>
      <c r="G181" s="8" t="inlineStr">
        <is>
          <t>UN</t>
        </is>
      </c>
      <c r="H181" s="9" t="n">
        <v>12.5</v>
      </c>
      <c r="I181" s="8" t="inlineStr">
        <is>
          <t>MECANICA</t>
        </is>
      </c>
      <c r="J181" s="8" t="inlineStr">
        <is>
          <t>Consumo</t>
        </is>
      </c>
      <c r="K181" s="9">
        <f>ROUND(tbConsumo[[#This Row],[Quantidade]]*tbConsumo[[#This Row],[Custo_Unitario]],2)</f>
        <v>150</v>
      </c>
      <c r="L181" s="11" t="str">
        <f>YEAR(tbConsumo[[#This Row],[Data]])&amp;"-"&amp;TEXT(MONTH(tbConsumo[[#This Row],[Data]]),"00")</f>
        <v>2026-08</v>
      </c>
    </row>
  </sheetData>
  <dataValidations count="8">
    <dataValidation sqref="B2:B181" showDropDown="0" showInputMessage="0" showErrorMessage="1" allowBlank="0" errorTitle="Valor inválido" error="Data fora do período ou inválida." type="date" operator="between">
      <formula1>pInicioPeriodo</formula1>
      <formula2>pFimPeriodo</formula2>
    </dataValidation>
    <dataValidation sqref="E2:E181" showDropDown="0" showInputMessage="0" showErrorMessage="1" allowBlank="0" errorTitle="Valor inválido" error="Use um valor da lista Categorias (aba Parametros)." type="list">
      <formula1>=lstCategorias</formula1>
    </dataValidation>
    <dataValidation sqref="G2:G181" showDropDown="0" showInputMessage="0" showErrorMessage="1" allowBlank="0" errorTitle="Valor inválido" error="Use um valor da lista Unidades (aba Parametros)." type="list">
      <formula1>=lstUnidades</formula1>
    </dataValidation>
    <dataValidation sqref="I2:I181" showDropDown="0" showInputMessage="0" showErrorMessage="1" allowBlank="0" errorTitle="Valor inválido" error="Use um valor da lista Centros de trabalho (aba Parametros)." type="list">
      <formula1>=lstCentros</formula1>
    </dataValidation>
    <dataValidation sqref="J2:J181" showDropDown="0" showInputMessage="0" showErrorMessage="1" allowBlank="0" errorTitle="Valor inválido" error="Use um valor da lista Tipos de movimentação (aba Parametros)." type="list">
      <formula1>=lstTipoMov</formula1>
    </dataValidation>
    <dataValidation sqref="F2:F181" showDropDown="0" showInputMessage="0" showErrorMessage="1" allowBlank="0" errorTitle="Valor inválido" error="Quantidade deve ser inteiro &gt; 0." type="whole" operator="greaterThan">
      <formula1>0</formula1>
    </dataValidation>
    <dataValidation sqref="H2:H181" showDropDown="0" showInputMessage="0" showErrorMessage="1" allowBlank="0" errorTitle="Valor inválido" error="Custo_Unitario deve ser maior que zero." type="decimal" operator="greaterThan">
      <formula1>0</formula1>
    </dataValidation>
    <dataValidation sqref="C2:C181" showDropDown="0" showInputMessage="0" showErrorMessage="1" allowBlank="0" errorTitle="Material inexistente" error="Material_ID precisa existir na aba Materiais." type="list">
      <formula1>=Materiais!$A$2:$A$21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4" customWidth="1" min="1" max="1"/>
    <col width="78" customWidth="1" min="2" max="2"/>
    <col width="26" customWidth="1" min="3" max="3"/>
    <col width="20" customWidth="1" min="4" max="4"/>
    <col width="10" customWidth="1" min="5" max="5"/>
  </cols>
  <sheetData>
    <row r="1">
      <c r="A1" s="1" t="inlineStr">
        <is>
          <t>Qualidade dos dados – verificações ao vivo (fórmulas)</t>
        </is>
      </c>
    </row>
    <row r="2">
      <c r="A2" s="14" t="inlineStr">
        <is>
          <t>Dados 100% sintéticos utilizados exclusivamente para estudo e portfólio.</t>
        </is>
      </c>
    </row>
    <row r="3">
      <c r="A3" s="14" t="inlineStr">
        <is>
          <t>Cada linha é uma fórmula sobre tbMateriais, tbEstoque e tbConsumo. Erros = 0 =&gt; PASS. O mesmo conjunto (Q01–Q36) é executado de forma independente em Python (scripts/validar_dados.py).</t>
        </is>
      </c>
    </row>
    <row r="5">
      <c r="A5" s="15" t="inlineStr">
        <is>
          <t>Testes executados</t>
        </is>
      </c>
      <c r="B5" s="16">
        <f>COUNTA(A10:A45)</f>
        <v>36</v>
      </c>
    </row>
    <row r="6">
      <c r="A6" s="15" t="inlineStr">
        <is>
          <t>PASS</t>
        </is>
      </c>
      <c r="B6" s="16">
        <f>COUNTIF(E10:E45,"PASS")</f>
        <v>36</v>
      </c>
    </row>
    <row r="7">
      <c r="A7" s="15" t="inlineStr">
        <is>
          <t>FAIL</t>
        </is>
      </c>
      <c r="B7" s="16">
        <f>COUNTIF(E10:E45,"FAIL")</f>
        <v>0</v>
      </c>
    </row>
    <row r="9">
      <c r="A9" s="7" t="inlineStr">
        <is>
          <t>Teste</t>
        </is>
      </c>
      <c r="B9" s="7" t="inlineStr">
        <is>
          <t>Regra</t>
        </is>
      </c>
      <c r="C9" s="7" t="inlineStr">
        <is>
          <t>Resultado</t>
        </is>
      </c>
      <c r="D9" s="7" t="inlineStr">
        <is>
          <t>Quantidade de erros</t>
        </is>
      </c>
      <c r="E9" s="7" t="inlineStr">
        <is>
          <t>Status</t>
        </is>
      </c>
    </row>
    <row r="10">
      <c r="A10" s="8" t="inlineStr">
        <is>
          <t>Q01 · IDs duplicados – Materiais</t>
        </is>
      </c>
      <c r="B10" s="8" t="inlineStr">
        <is>
          <t>Material_ID não se repete (conta linhas envolvidas em duplicidade)</t>
        </is>
      </c>
      <c r="C10" s="8" t="str">
        <f>IF(D10=0,"Nenhum erro encontrado","Erros encontrados")</f>
        <v>Nenhum erro encontrado</v>
      </c>
      <c r="D10" s="11">
        <f>SUMPRODUCT(--(COUNTIF(tbMateriais[Material_ID],tbMateriais[Material_ID])&gt;1))</f>
        <v>0</v>
      </c>
      <c r="E10" s="11" t="str">
        <f>IF(D10=0,"PASS","FAIL")</f>
        <v>PASS</v>
      </c>
    </row>
    <row r="11">
      <c r="A11" s="8" t="inlineStr">
        <is>
          <t>Q02 · IDs duplicados – Estoque</t>
        </is>
      </c>
      <c r="B11" s="8" t="inlineStr">
        <is>
          <t>Material_ID não se repete na posição de estoque</t>
        </is>
      </c>
      <c r="C11" s="8" t="str">
        <f>IF(D11=0,"Nenhum erro encontrado","Erros encontrados")</f>
        <v>Nenhum erro encontrado</v>
      </c>
      <c r="D11" s="11">
        <f>SUMPRODUCT(--(COUNTIF(tbEstoque[Material_ID],tbEstoque[Material_ID])&gt;1))</f>
        <v>0</v>
      </c>
      <c r="E11" s="11" t="str">
        <f>IF(D11=0,"PASS","FAIL")</f>
        <v>PASS</v>
      </c>
    </row>
    <row r="12">
      <c r="A12" s="8" t="inlineStr">
        <is>
          <t>Q03 · IDs duplicados – Consumo</t>
        </is>
      </c>
      <c r="B12" s="8" t="inlineStr">
        <is>
          <t>Movimento_ID não se repete</t>
        </is>
      </c>
      <c r="C12" s="8" t="str">
        <f>IF(D12=0,"Nenhum erro encontrado","Erros encontrados")</f>
        <v>Nenhum erro encontrado</v>
      </c>
      <c r="D12" s="11">
        <f>SUMPRODUCT(--(COUNTIF(tbConsumo[Movimento_ID],tbConsumo[Movimento_ID])&gt;1))</f>
        <v>0</v>
      </c>
      <c r="E12" s="11" t="str">
        <f>IF(D12=0,"PASS","FAIL")</f>
        <v>PASS</v>
      </c>
    </row>
    <row r="13">
      <c r="A13" s="8" t="inlineStr">
        <is>
          <t>Q04 · Nulos indevidos – Materiais</t>
        </is>
      </c>
      <c r="B13" s="8" t="inlineStr">
        <is>
          <t>Nenhuma célula vazia na tabela</t>
        </is>
      </c>
      <c r="C13" s="8" t="str">
        <f>IF(D13=0,"Nenhum erro encontrado","Erros encontrados")</f>
        <v>Nenhum erro encontrado</v>
      </c>
      <c r="D13" s="11">
        <f>COUNTBLANK(tbMateriais)</f>
        <v>0</v>
      </c>
      <c r="E13" s="11" t="str">
        <f>IF(D13=0,"PASS","FAIL")</f>
        <v>PASS</v>
      </c>
    </row>
    <row r="14">
      <c r="A14" s="8" t="inlineStr">
        <is>
          <t>Q05 · Nulos indevidos – Estoque</t>
        </is>
      </c>
      <c r="B14" s="8" t="inlineStr">
        <is>
          <t>Nenhuma célula vazia na tabela</t>
        </is>
      </c>
      <c r="C14" s="8" t="str">
        <f>IF(D14=0,"Nenhum erro encontrado","Erros encontrados")</f>
        <v>Nenhum erro encontrado</v>
      </c>
      <c r="D14" s="11">
        <f>COUNTBLANK(tbEstoque)</f>
        <v>0</v>
      </c>
      <c r="E14" s="11" t="str">
        <f>IF(D14=0,"PASS","FAIL")</f>
        <v>PASS</v>
      </c>
    </row>
    <row r="15">
      <c r="A15" s="8" t="inlineStr">
        <is>
          <t>Q06 · Nulos indevidos – Consumo</t>
        </is>
      </c>
      <c r="B15" s="8" t="inlineStr">
        <is>
          <t>Nenhuma célula vazia na tabela</t>
        </is>
      </c>
      <c r="C15" s="8" t="str">
        <f>IF(D15=0,"Nenhum erro encontrado","Erros encontrados")</f>
        <v>Nenhum erro encontrado</v>
      </c>
      <c r="D15" s="11">
        <f>COUNTBLANK(tbConsumo)</f>
        <v>0</v>
      </c>
      <c r="E15" s="11" t="str">
        <f>IF(D15=0,"PASS","FAIL")</f>
        <v>PASS</v>
      </c>
    </row>
    <row r="16">
      <c r="A16" s="8" t="inlineStr">
        <is>
          <t>Q07 · Quantidade inválida – Consumo</t>
        </is>
      </c>
      <c r="B16" s="8" t="inlineStr">
        <is>
          <t>Quantidade numérica, inteira e &gt; 0</t>
        </is>
      </c>
      <c r="C16" s="8" t="str">
        <f>IF(D16=0,"Nenhum erro encontrado","Erros encontrados")</f>
        <v>Nenhum erro encontrado</v>
      </c>
      <c r="D16" s="11">
        <f>IF(ROWS(tbConsumo[Quantidade])-COUNT(tbConsumo[Quantidade])&gt;0,ROWS(tbConsumo[Quantidade])-COUNT(tbConsumo[Quantidade]),COUNTIF(tbConsumo[Quantidade],"&lt;=0")+SUMPRODUCT(--(tbConsumo[Quantidade]&lt;&gt;INT(tbConsumo[Quantidade]))))</f>
        <v>0</v>
      </c>
      <c r="E16" s="11" t="str">
        <f>IF(D16=0,"PASS","FAIL")</f>
        <v>PASS</v>
      </c>
    </row>
    <row r="17">
      <c r="A17" s="8" t="inlineStr">
        <is>
          <t>Q08 · Custo &lt;= 0 – Materiais</t>
        </is>
      </c>
      <c r="B17" s="8" t="inlineStr">
        <is>
          <t>Custo_Unitario numérico e &gt; 0</t>
        </is>
      </c>
      <c r="C17" s="8" t="str">
        <f>IF(D17=0,"Nenhum erro encontrado","Erros encontrados")</f>
        <v>Nenhum erro encontrado</v>
      </c>
      <c r="D17" s="11">
        <f>IF(ROWS(tbMateriais[Custo_Unitario])-COUNT(tbMateriais[Custo_Unitario])&gt;0,ROWS(tbMateriais[Custo_Unitario])-COUNT(tbMateriais[Custo_Unitario]),COUNTIF(tbMateriais[Custo_Unitario],"&lt;=0"))</f>
        <v>0</v>
      </c>
      <c r="E17" s="11" t="str">
        <f>IF(D17=0,"PASS","FAIL")</f>
        <v>PASS</v>
      </c>
    </row>
    <row r="18">
      <c r="A18" s="8" t="inlineStr">
        <is>
          <t>Q09 · Custo &lt;= 0 – Estoque</t>
        </is>
      </c>
      <c r="B18" s="8" t="inlineStr">
        <is>
          <t>Custo_Unitario numérico e &gt; 0</t>
        </is>
      </c>
      <c r="C18" s="8" t="str">
        <f>IF(D18=0,"Nenhum erro encontrado","Erros encontrados")</f>
        <v>Nenhum erro encontrado</v>
      </c>
      <c r="D18" s="11">
        <f>IF(ROWS(tbEstoque[Custo_Unitario])-COUNT(tbEstoque[Custo_Unitario])&gt;0,ROWS(tbEstoque[Custo_Unitario])-COUNT(tbEstoque[Custo_Unitario]),COUNTIF(tbEstoque[Custo_Unitario],"&lt;=0"))</f>
        <v>0</v>
      </c>
      <c r="E18" s="11" t="str">
        <f>IF(D18=0,"PASS","FAIL")</f>
        <v>PASS</v>
      </c>
    </row>
    <row r="19">
      <c r="A19" s="8" t="inlineStr">
        <is>
          <t>Q10 · Custo &lt;= 0 – Consumo</t>
        </is>
      </c>
      <c r="B19" s="8" t="inlineStr">
        <is>
          <t>Custo_Unitario numérico e &gt; 0</t>
        </is>
      </c>
      <c r="C19" s="8" t="str">
        <f>IF(D19=0,"Nenhum erro encontrado","Erros encontrados")</f>
        <v>Nenhum erro encontrado</v>
      </c>
      <c r="D19" s="11">
        <f>IF(ROWS(tbConsumo[Custo_Unitario])-COUNT(tbConsumo[Custo_Unitario])&gt;0,ROWS(tbConsumo[Custo_Unitario])-COUNT(tbConsumo[Custo_Unitario]),COUNTIF(tbConsumo[Custo_Unitario],"&lt;=0"))</f>
        <v>0</v>
      </c>
      <c r="E19" s="11" t="str">
        <f>IF(D19=0,"PASS","FAIL")</f>
        <v>PASS</v>
      </c>
    </row>
    <row r="20">
      <c r="A20" s="8" t="inlineStr">
        <is>
          <t>Q11 · Material inexistente – Estoque</t>
        </is>
      </c>
      <c r="B20" s="8" t="inlineStr">
        <is>
          <t>Material_ID do estoque existe no catálogo</t>
        </is>
      </c>
      <c r="C20" s="8" t="str">
        <f>IF(D20=0,"Nenhum erro encontrado","Erros encontrados")</f>
        <v>Nenhum erro encontrado</v>
      </c>
      <c r="D20" s="11">
        <f>SUMPRODUCT(--(COUNTIF(tbMateriais[Material_ID],tbEstoque[Material_ID])=0))</f>
        <v>0</v>
      </c>
      <c r="E20" s="11" t="str">
        <f>IF(D20=0,"PASS","FAIL")</f>
        <v>PASS</v>
      </c>
    </row>
    <row r="21">
      <c r="A21" s="8" t="inlineStr">
        <is>
          <t>Q12 · Material inexistente – Consumo</t>
        </is>
      </c>
      <c r="B21" s="8" t="inlineStr">
        <is>
          <t>Material_ID do consumo existe no catálogo</t>
        </is>
      </c>
      <c r="C21" s="8" t="str">
        <f>IF(D21=0,"Nenhum erro encontrado","Erros encontrados")</f>
        <v>Nenhum erro encontrado</v>
      </c>
      <c r="D21" s="11">
        <f>SUMPRODUCT(--(COUNTIF(tbMateriais[Material_ID],tbConsumo[Material_ID])=0))</f>
        <v>0</v>
      </c>
      <c r="E21" s="11" t="str">
        <f>IF(D21=0,"PASS","FAIL")</f>
        <v>PASS</v>
      </c>
    </row>
    <row r="22">
      <c r="A22" s="8" t="inlineStr">
        <is>
          <t>Q13 · Catálogo sem estoque</t>
        </is>
      </c>
      <c r="B22" s="8" t="inlineStr">
        <is>
          <t>Todo material do catálogo tem posição de estoque</t>
        </is>
      </c>
      <c r="C22" s="8" t="str">
        <f>IF(D22=0,"Nenhum erro encontrado","Erros encontrados")</f>
        <v>Nenhum erro encontrado</v>
      </c>
      <c r="D22" s="11">
        <f>SUMPRODUCT(--(COUNTIF(tbEstoque[Material_ID],tbMateriais[Material_ID])=0))</f>
        <v>0</v>
      </c>
      <c r="E22" s="11" t="str">
        <f>IF(D22=0,"PASS","FAIL")</f>
        <v>PASS</v>
      </c>
    </row>
    <row r="23">
      <c r="A23" s="8" t="inlineStr">
        <is>
          <t>Q14 · Nome divergente – Estoque</t>
        </is>
      </c>
      <c r="B23" s="8" t="inlineStr">
        <is>
          <t>Material do estoque = catálogo</t>
        </is>
      </c>
      <c r="C23" s="8" t="str">
        <f>IF(D23=0,"Nenhum erro encontrado","Erros encontrados")</f>
        <v>Nenhum erro encontrado</v>
      </c>
      <c r="D23" s="11">
        <f>SUMPRODUCT((COUNTIF(tbMateriais[Material_ID],tbEstoque[Material_ID])&gt;0)*(COUNTIFS(tbMateriais[Material_ID],tbEstoque[Material_ID],tbMateriais[Material],tbEstoque[Material])=0))</f>
        <v>0</v>
      </c>
      <c r="E23" s="11" t="str">
        <f>IF(D23=0,"PASS","FAIL")</f>
        <v>PASS</v>
      </c>
    </row>
    <row r="24">
      <c r="A24" s="8" t="inlineStr">
        <is>
          <t>Q15 · Nome divergente – Consumo</t>
        </is>
      </c>
      <c r="B24" s="8" t="inlineStr">
        <is>
          <t>Material do consumo = catálogo</t>
        </is>
      </c>
      <c r="C24" s="8" t="str">
        <f>IF(D24=0,"Nenhum erro encontrado","Erros encontrados")</f>
        <v>Nenhum erro encontrado</v>
      </c>
      <c r="D24" s="11">
        <f>SUMPRODUCT((COUNTIF(tbMateriais[Material_ID],tbConsumo[Material_ID])&gt;0)*(COUNTIFS(tbMateriais[Material_ID],tbConsumo[Material_ID],tbMateriais[Material],tbConsumo[Material])=0))</f>
        <v>0</v>
      </c>
      <c r="E24" s="11" t="str">
        <f>IF(D24=0,"PASS","FAIL")</f>
        <v>PASS</v>
      </c>
    </row>
    <row r="25">
      <c r="A25" s="8" t="inlineStr">
        <is>
          <t>Q16 · Categoria divergente – Estoque</t>
        </is>
      </c>
      <c r="B25" s="8" t="inlineStr">
        <is>
          <t>Categoria do estoque = catálogo</t>
        </is>
      </c>
      <c r="C25" s="8" t="str">
        <f>IF(D25=0,"Nenhum erro encontrado","Erros encontrados")</f>
        <v>Nenhum erro encontrado</v>
      </c>
      <c r="D25" s="11">
        <f>SUMPRODUCT((COUNTIF(tbMateriais[Material_ID],tbEstoque[Material_ID])&gt;0)*(COUNTIFS(tbMateriais[Material_ID],tbEstoque[Material_ID],tbMateriais[Categoria],tbEstoque[Categoria])=0))</f>
        <v>0</v>
      </c>
      <c r="E25" s="11" t="str">
        <f>IF(D25=0,"PASS","FAIL")</f>
        <v>PASS</v>
      </c>
    </row>
    <row r="26">
      <c r="A26" s="8" t="inlineStr">
        <is>
          <t>Q17 · Categoria divergente – Consumo</t>
        </is>
      </c>
      <c r="B26" s="8" t="inlineStr">
        <is>
          <t>Categoria do consumo = catálogo</t>
        </is>
      </c>
      <c r="C26" s="8" t="str">
        <f>IF(D26=0,"Nenhum erro encontrado","Erros encontrados")</f>
        <v>Nenhum erro encontrado</v>
      </c>
      <c r="D26" s="11">
        <f>SUMPRODUCT((COUNTIF(tbMateriais[Material_ID],tbConsumo[Material_ID])&gt;0)*(COUNTIFS(tbMateriais[Material_ID],tbConsumo[Material_ID],tbMateriais[Categoria],tbConsumo[Categoria])=0))</f>
        <v>0</v>
      </c>
      <c r="E26" s="11" t="str">
        <f>IF(D26=0,"PASS","FAIL")</f>
        <v>PASS</v>
      </c>
    </row>
    <row r="27">
      <c r="A27" s="8" t="inlineStr">
        <is>
          <t>Q18 · Unidade divergente – Estoque</t>
        </is>
      </c>
      <c r="B27" s="8" t="inlineStr">
        <is>
          <t>Unidade do estoque = catálogo</t>
        </is>
      </c>
      <c r="C27" s="8" t="str">
        <f>IF(D27=0,"Nenhum erro encontrado","Erros encontrados")</f>
        <v>Nenhum erro encontrado</v>
      </c>
      <c r="D27" s="11">
        <f>SUMPRODUCT((COUNTIF(tbMateriais[Material_ID],tbEstoque[Material_ID])&gt;0)*(COUNTIFS(tbMateriais[Material_ID],tbEstoque[Material_ID],tbMateriais[Unidade],tbEstoque[Unidade])=0))</f>
        <v>0</v>
      </c>
      <c r="E27" s="11" t="str">
        <f>IF(D27=0,"PASS","FAIL")</f>
        <v>PASS</v>
      </c>
    </row>
    <row r="28">
      <c r="A28" s="8" t="inlineStr">
        <is>
          <t>Q19 · Unidade divergente – Consumo</t>
        </is>
      </c>
      <c r="B28" s="8" t="inlineStr">
        <is>
          <t>Unidade do consumo = catálogo</t>
        </is>
      </c>
      <c r="C28" s="8" t="str">
        <f>IF(D28=0,"Nenhum erro encontrado","Erros encontrados")</f>
        <v>Nenhum erro encontrado</v>
      </c>
      <c r="D28" s="11">
        <f>SUMPRODUCT((COUNTIF(tbMateriais[Material_ID],tbConsumo[Material_ID])&gt;0)*(COUNTIFS(tbMateriais[Material_ID],tbConsumo[Material_ID],tbMateriais[Unidade],tbConsumo[Unidade])=0))</f>
        <v>0</v>
      </c>
      <c r="E28" s="11" t="str">
        <f>IF(D28=0,"PASS","FAIL")</f>
        <v>PASS</v>
      </c>
    </row>
    <row r="29">
      <c r="A29" s="8" t="inlineStr">
        <is>
          <t>Q20 · Custo divergente – Estoque</t>
        </is>
      </c>
      <c r="B29" s="8" t="inlineStr">
        <is>
          <t>Custo_Unitario do estoque = catálogo</t>
        </is>
      </c>
      <c r="C29" s="8" t="str">
        <f>IF(D29=0,"Nenhum erro encontrado","Erros encontrados")</f>
        <v>Nenhum erro encontrado</v>
      </c>
      <c r="D29" s="11">
        <f>SUMPRODUCT((COUNTIF(tbMateriais[Material_ID],tbEstoque[Material_ID])&gt;0)*(COUNTIFS(tbMateriais[Material_ID],tbEstoque[Material_ID],tbMateriais[Custo_Unitario],tbEstoque[Custo_Unitario])=0))</f>
        <v>0</v>
      </c>
      <c r="E29" s="11" t="str">
        <f>IF(D29=0,"PASS","FAIL")</f>
        <v>PASS</v>
      </c>
    </row>
    <row r="30">
      <c r="A30" s="8" t="inlineStr">
        <is>
          <t>Q21 · Custo divergente – Consumo</t>
        </is>
      </c>
      <c r="B30" s="8" t="inlineStr">
        <is>
          <t>Custo_Unitario do consumo = catálogo</t>
        </is>
      </c>
      <c r="C30" s="8" t="str">
        <f>IF(D30=0,"Nenhum erro encontrado","Erros encontrados")</f>
        <v>Nenhum erro encontrado</v>
      </c>
      <c r="D30" s="11">
        <f>SUMPRODUCT((COUNTIF(tbMateriais[Material_ID],tbConsumo[Material_ID])&gt;0)*(COUNTIFS(tbMateriais[Material_ID],tbConsumo[Material_ID],tbMateriais[Custo_Unitario],tbConsumo[Custo_Unitario])=0))</f>
        <v>0</v>
      </c>
      <c r="E30" s="11" t="str">
        <f>IF(D30=0,"PASS","FAIL")</f>
        <v>PASS</v>
      </c>
    </row>
    <row r="31">
      <c r="A31" s="8" t="inlineStr">
        <is>
          <t>Q22 · Criticidade divergente – Estoque</t>
        </is>
      </c>
      <c r="B31" s="8" t="inlineStr">
        <is>
          <t>Criticidade do estoque = catálogo</t>
        </is>
      </c>
      <c r="C31" s="8" t="str">
        <f>IF(D31=0,"Nenhum erro encontrado","Erros encontrados")</f>
        <v>Nenhum erro encontrado</v>
      </c>
      <c r="D31" s="11">
        <f>SUMPRODUCT((COUNTIF(tbMateriais[Material_ID],tbEstoque[Material_ID])&gt;0)*(COUNTIFS(tbMateriais[Material_ID],tbEstoque[Material_ID],tbMateriais[Criticidade],tbEstoque[Criticidade])=0))</f>
        <v>0</v>
      </c>
      <c r="E31" s="11" t="str">
        <f>IF(D31=0,"PASS","FAIL")</f>
        <v>PASS</v>
      </c>
    </row>
    <row r="32">
      <c r="A32" s="8" t="inlineStr">
        <is>
          <t>Q23 · Fornecedor divergente – Estoque</t>
        </is>
      </c>
      <c r="B32" s="8" t="inlineStr">
        <is>
          <t>Fornecedor do estoque = catálogo</t>
        </is>
      </c>
      <c r="C32" s="8" t="str">
        <f>IF(D32=0,"Nenhum erro encontrado","Erros encontrados")</f>
        <v>Nenhum erro encontrado</v>
      </c>
      <c r="D32" s="11">
        <f>SUMPRODUCT((COUNTIF(tbMateriais[Material_ID],tbEstoque[Material_ID])&gt;0)*(COUNTIFS(tbMateriais[Material_ID],tbEstoque[Material_ID],tbMateriais[Fornecedor],tbEstoque[Fornecedor])=0))</f>
        <v>0</v>
      </c>
      <c r="E32" s="11" t="str">
        <f>IF(D32=0,"PASS","FAIL")</f>
        <v>PASS</v>
      </c>
    </row>
    <row r="33">
      <c r="A33" s="8" t="inlineStr">
        <is>
          <t>Q24 · Datas inválidas – Consumo</t>
        </is>
      </c>
      <c r="B33" s="8" t="inlineStr">
        <is>
          <t>Data válida e dentro do período definido na aba Parametros</t>
        </is>
      </c>
      <c r="C33" s="8" t="str">
        <f>IF(D33=0,"Nenhum erro encontrado","Erros encontrados")</f>
        <v>Nenhum erro encontrado</v>
      </c>
      <c r="D33" s="11">
        <f>SUMPRODUCT(--NOT(ISNUMBER(tbConsumo[Data])))+COUNTIF(tbConsumo[Data],"&lt;"&amp;pInicioPeriodo)+COUNTIF(tbConsumo[Data],"&gt;"&amp;pFimPeriodo)</f>
        <v>0</v>
      </c>
      <c r="E33" s="11" t="str">
        <f>IF(D33=0,"PASS","FAIL")</f>
        <v>PASS</v>
      </c>
    </row>
    <row r="34">
      <c r="A34" s="8" t="inlineStr">
        <is>
          <t>Q25 · Cobertura dos 3 meses – Consumo</t>
        </is>
      </c>
      <c r="B34" s="8" t="inlineStr">
        <is>
          <t>Cada mês do período tem &gt;= 1 movimentação (conta meses sem registro)</t>
        </is>
      </c>
      <c r="C34" s="8" t="str">
        <f>IF(D34=0,"Nenhum erro encontrado","Erros encontrados")</f>
        <v>Nenhum erro encontrado</v>
      </c>
      <c r="D34" s="11">
        <f>SUMPRODUCT(--(COUNTIF(tbConsumo[Mes],lstMeses)=0))</f>
        <v>0</v>
      </c>
      <c r="E34" s="11" t="str">
        <f>IF(D34=0,"PASS","FAIL")</f>
        <v>PASS</v>
      </c>
    </row>
    <row r="35">
      <c r="A35" s="8" t="inlineStr">
        <is>
          <t>Q26 · Estoque negativo</t>
        </is>
      </c>
      <c r="B35" s="8" t="inlineStr">
        <is>
          <t>Estoque_Atual numérico e &gt;= 0</t>
        </is>
      </c>
      <c r="C35" s="8" t="str">
        <f>IF(D35=0,"Nenhum erro encontrado","Erros encontrados")</f>
        <v>Nenhum erro encontrado</v>
      </c>
      <c r="D35" s="11">
        <f>IF(ROWS(tbEstoque[Estoque_Atual])-COUNT(tbEstoque[Estoque_Atual])&gt;0,ROWS(tbEstoque[Estoque_Atual])-COUNT(tbEstoque[Estoque_Atual]),COUNTIF(tbEstoque[Estoque_Atual],"&lt;0"))</f>
        <v>0</v>
      </c>
      <c r="E35" s="11" t="str">
        <f>IF(D35=0,"PASS","FAIL")</f>
        <v>PASS</v>
      </c>
    </row>
    <row r="36">
      <c r="A36" s="8" t="inlineStr">
        <is>
          <t>Q27 · Estoque mínimo negativo</t>
        </is>
      </c>
      <c r="B36" s="8" t="inlineStr">
        <is>
          <t>Estoque_Minimo numérico e &gt;= 0</t>
        </is>
      </c>
      <c r="C36" s="8" t="str">
        <f>IF(D36=0,"Nenhum erro encontrado","Erros encontrados")</f>
        <v>Nenhum erro encontrado</v>
      </c>
      <c r="D36" s="11">
        <f>IF(ROWS(tbEstoque[Estoque_Minimo])-COUNT(tbEstoque[Estoque_Minimo])&gt;0,ROWS(tbEstoque[Estoque_Minimo])-COUNT(tbEstoque[Estoque_Minimo]),COUNTIF(tbEstoque[Estoque_Minimo],"&lt;0"))</f>
        <v>0</v>
      </c>
      <c r="E36" s="11" t="str">
        <f>IF(D36=0,"PASS","FAIL")</f>
        <v>PASS</v>
      </c>
    </row>
    <row r="37">
      <c r="A37" s="8" t="inlineStr">
        <is>
          <t>Q28 · Lead time inválido</t>
        </is>
      </c>
      <c r="B37" s="8" t="inlineStr">
        <is>
          <t>Lead_Time_Dias numérico, inteiro e &gt; 0</t>
        </is>
      </c>
      <c r="C37" s="8" t="str">
        <f>IF(D37=0,"Nenhum erro encontrado","Erros encontrados")</f>
        <v>Nenhum erro encontrado</v>
      </c>
      <c r="D37" s="11">
        <f>IF(ROWS(tbEstoque[Lead_Time_Dias])-COUNT(tbEstoque[Lead_Time_Dias])&gt;0,ROWS(tbEstoque[Lead_Time_Dias])-COUNT(tbEstoque[Lead_Time_Dias]),COUNTIF(tbEstoque[Lead_Time_Dias],"&lt;=0")+SUMPRODUCT(--(tbEstoque[Lead_Time_Dias]&lt;&gt;INT(tbEstoque[Lead_Time_Dias]))))</f>
        <v>0</v>
      </c>
      <c r="E37" s="11" t="str">
        <f>IF(D37=0,"PASS","FAIL")</f>
        <v>PASS</v>
      </c>
    </row>
    <row r="38">
      <c r="A38" s="8" t="inlineStr">
        <is>
          <t>Q29 · Categoria inválida – Materiais</t>
        </is>
      </c>
      <c r="B38" s="8" t="inlineStr">
        <is>
          <t>Categoria pertence à lista permitida</t>
        </is>
      </c>
      <c r="C38" s="8" t="str">
        <f>IF(D38=0,"Nenhum erro encontrado","Erros encontrados")</f>
        <v>Nenhum erro encontrado</v>
      </c>
      <c r="D38" s="11">
        <f>SUMPRODUCT(--(COUNTIF(lstCategorias,tbMateriais[Categoria])=0))</f>
        <v>0</v>
      </c>
      <c r="E38" s="11" t="str">
        <f>IF(D38=0,"PASS","FAIL")</f>
        <v>PASS</v>
      </c>
    </row>
    <row r="39">
      <c r="A39" s="8" t="inlineStr">
        <is>
          <t>Q30 · Categoria inválida – Estoque</t>
        </is>
      </c>
      <c r="B39" s="8" t="inlineStr">
        <is>
          <t>Categoria pertence à lista permitida</t>
        </is>
      </c>
      <c r="C39" s="8" t="str">
        <f>IF(D39=0,"Nenhum erro encontrado","Erros encontrados")</f>
        <v>Nenhum erro encontrado</v>
      </c>
      <c r="D39" s="11">
        <f>SUMPRODUCT(--(COUNTIF(lstCategorias,tbEstoque[Categoria])=0))</f>
        <v>0</v>
      </c>
      <c r="E39" s="11" t="str">
        <f>IF(D39=0,"PASS","FAIL")</f>
        <v>PASS</v>
      </c>
    </row>
    <row r="40">
      <c r="A40" s="8" t="inlineStr">
        <is>
          <t>Q31 · Categoria inválida – Consumo</t>
        </is>
      </c>
      <c r="B40" s="8" t="inlineStr">
        <is>
          <t>Categoria pertence à lista permitida</t>
        </is>
      </c>
      <c r="C40" s="8" t="str">
        <f>IF(D40=0,"Nenhum erro encontrado","Erros encontrados")</f>
        <v>Nenhum erro encontrado</v>
      </c>
      <c r="D40" s="11">
        <f>SUMPRODUCT(--(COUNTIF(lstCategorias,tbConsumo[Categoria])=0))</f>
        <v>0</v>
      </c>
      <c r="E40" s="11" t="str">
        <f>IF(D40=0,"PASS","FAIL")</f>
        <v>PASS</v>
      </c>
    </row>
    <row r="41">
      <c r="A41" s="8" t="inlineStr">
        <is>
          <t>Q32 · Unidade inválida – Materiais</t>
        </is>
      </c>
      <c r="B41" s="8" t="inlineStr">
        <is>
          <t>Unidade em UN, CX, PCT ou PAR</t>
        </is>
      </c>
      <c r="C41" s="8" t="str">
        <f>IF(D41=0,"Nenhum erro encontrado","Erros encontrados")</f>
        <v>Nenhum erro encontrado</v>
      </c>
      <c r="D41" s="11">
        <f>SUMPRODUCT(--(COUNTIF(lstUnidades,tbMateriais[Unidade])=0))</f>
        <v>0</v>
      </c>
      <c r="E41" s="11" t="str">
        <f>IF(D41=0,"PASS","FAIL")</f>
        <v>PASS</v>
      </c>
    </row>
    <row r="42">
      <c r="A42" s="8" t="inlineStr">
        <is>
          <t>Q33 · Criticidade inválida – Materiais</t>
        </is>
      </c>
      <c r="B42" s="8" t="inlineStr">
        <is>
          <t>Criticidade em Baixa, Média ou Alta</t>
        </is>
      </c>
      <c r="C42" s="8" t="str">
        <f>IF(D42=0,"Nenhum erro encontrado","Erros encontrados")</f>
        <v>Nenhum erro encontrado</v>
      </c>
      <c r="D42" s="11">
        <f>SUMPRODUCT(--(COUNTIF(lstCriticidade,tbMateriais[Criticidade])=0))</f>
        <v>0</v>
      </c>
      <c r="E42" s="11" t="str">
        <f>IF(D42=0,"PASS","FAIL")</f>
        <v>PASS</v>
      </c>
    </row>
    <row r="43">
      <c r="A43" s="8" t="inlineStr">
        <is>
          <t>Q34 · Centro inválido – Consumo</t>
        </is>
      </c>
      <c r="B43" s="8" t="inlineStr">
        <is>
          <t>Centro_Trabalho na lista permitida</t>
        </is>
      </c>
      <c r="C43" s="8" t="str">
        <f>IF(D43=0,"Nenhum erro encontrado","Erros encontrados")</f>
        <v>Nenhum erro encontrado</v>
      </c>
      <c r="D43" s="11">
        <f>SUMPRODUCT(--(COUNTIF(lstCentros,tbConsumo[Centro_Trabalho])=0))</f>
        <v>0</v>
      </c>
      <c r="E43" s="11" t="str">
        <f>IF(D43=0,"PASS","FAIL")</f>
        <v>PASS</v>
      </c>
    </row>
    <row r="44">
      <c r="A44" s="8" t="inlineStr">
        <is>
          <t>Q35 · Tipo de movimentação inválido</t>
        </is>
      </c>
      <c r="B44" s="8" t="inlineStr">
        <is>
          <t>Tipo_Movimentacao em Consumo ou Ajuste</t>
        </is>
      </c>
      <c r="C44" s="8" t="str">
        <f>IF(D44=0,"Nenhum erro encontrado","Erros encontrados")</f>
        <v>Nenhum erro encontrado</v>
      </c>
      <c r="D44" s="11">
        <f>SUMPRODUCT(--(COUNTIF(lstTipoMov,tbConsumo[Tipo_Movimentacao])=0))</f>
        <v>0</v>
      </c>
      <c r="E44" s="11" t="str">
        <f>IF(D44=0,"PASS","FAIL")</f>
        <v>PASS</v>
      </c>
    </row>
    <row r="45">
      <c r="A45" s="8" t="inlineStr">
        <is>
          <t>Q36 · Fornecedor fora do padrão fictício</t>
        </is>
      </c>
      <c r="B45" s="8" t="inlineStr">
        <is>
          <t>Fornecedor começa com 'Fornecedor ' (nome fictício)</t>
        </is>
      </c>
      <c r="C45" s="8" t="str">
        <f>IF(D45=0,"Nenhum erro encontrado","Erros encontrados")</f>
        <v>Nenhum erro encontrado</v>
      </c>
      <c r="D45" s="11">
        <f>SUMPRODUCT(--(LEFT(tbMateriais[Fornecedor],11)&lt;&gt;"Fornecedor "))</f>
        <v>0</v>
      </c>
      <c r="E45" s="11" t="str">
        <f>IF(D45=0,"PASS","FAIL")</f>
        <v>PASS</v>
      </c>
    </row>
  </sheetData>
  <conditionalFormatting sqref="E10:E45">
    <cfRule type="cellIs" priority="1" operator="equal" dxfId="3">
      <formula>"PASS"</formula>
    </cfRule>
    <cfRule type="cellIs" priority="2" operator="equal" dxfId="4">
      <formula>"FAIL"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0" customWidth="1" min="3" max="3"/>
    <col width="18" customWidth="1" min="4" max="4"/>
    <col width="14" customWidth="1" min="5" max="5"/>
    <col width="30" customWidth="1" min="6" max="6"/>
    <col width="16" customWidth="1" min="7" max="7"/>
    <col width="14" customWidth="1" min="8" max="8"/>
    <col width="15" customWidth="1" min="9" max="9"/>
    <col width="15" customWidth="1" min="10" max="10"/>
  </cols>
  <sheetData>
    <row r="1">
      <c r="A1" s="1" t="inlineStr">
        <is>
          <t>Indicadores V0.1 – Lobo Insights Industrial</t>
        </is>
      </c>
    </row>
    <row r="2">
      <c r="A2" s="14" t="inlineStr">
        <is>
          <t>Dados 100% sintéticos utilizados exclusivamente para estudo e portfólio.</t>
        </is>
      </c>
    </row>
    <row r="3">
      <c r="A3" s="14" t="inlineStr">
        <is>
          <t>Valores monetários em unidade fictícia. Todos os números são fórmulas sobre tbConsumo, tbEstoque e tbMateriais (nada digitado). Este NÃO é o painel final (V0.2).</t>
        </is>
      </c>
    </row>
    <row r="4">
      <c r="A4" s="17" t="inlineStr">
        <is>
          <t>1. KPIs principais</t>
        </is>
      </c>
    </row>
    <row r="5">
      <c r="A5" s="18" t="inlineStr">
        <is>
          <t>KPI</t>
        </is>
      </c>
      <c r="B5" s="18" t="inlineStr">
        <is>
          <t>Valor</t>
        </is>
      </c>
      <c r="C5" s="18" t="inlineStr">
        <is>
          <t>Como é calculado</t>
        </is>
      </c>
      <c r="D5" s="19" t="n"/>
      <c r="E5" s="19" t="n"/>
      <c r="F5" s="20" t="n"/>
      <c r="G5" s="18" t="inlineStr">
        <is>
          <t>Origem</t>
        </is>
      </c>
      <c r="H5" s="19" t="n"/>
      <c r="I5" s="19" t="n"/>
      <c r="J5" s="20" t="n"/>
    </row>
    <row r="6" ht="28" customHeight="1">
      <c r="A6" s="21" t="inlineStr">
        <is>
          <t>Unidades consumidas</t>
        </is>
      </c>
      <c r="B6" s="22">
        <f>SUMIFS(tbConsumo[Quantidade],tbConsumo[Tipo_Movimentacao],"Consumo")</f>
        <v>1647</v>
      </c>
      <c r="C6" s="23" t="inlineStr">
        <is>
          <t>Soma de Quantidade das movimentações do tipo Consumo (SOMASES).</t>
        </is>
      </c>
      <c r="G6" s="24" t="inlineStr">
        <is>
          <t>tbConsumo[Quantidade]</t>
        </is>
      </c>
    </row>
    <row r="7" ht="28" customHeight="1">
      <c r="A7" s="21" t="inlineStr">
        <is>
          <t>Custo estimado consumido</t>
        </is>
      </c>
      <c r="B7" s="25">
        <f>SUMIFS(tbConsumo[Custo_Movimentado],tbConsumo[Tipo_Movimentacao],"Consumo")</f>
        <v>24606.2</v>
      </c>
      <c r="C7" s="23" t="inlineStr">
        <is>
          <t>Soma de Custo_Movimentado (Quantidade x Custo_Unitario) das movimentações de Consumo (SOMASES). Valor fictício.</t>
        </is>
      </c>
      <c r="G7" s="24" t="inlineStr">
        <is>
          <t>tbConsumo[Custo_Movimentado]</t>
        </is>
      </c>
    </row>
    <row r="8" ht="28" customHeight="1">
      <c r="A8" s="21" t="inlineStr">
        <is>
          <t>Movimentações</t>
        </is>
      </c>
      <c r="B8" s="22">
        <f>COUNTIFS(tbConsumo[Tipo_Movimentacao],"Consumo")</f>
        <v>180</v>
      </c>
      <c r="C8" s="23" t="inlineStr">
        <is>
          <t>Quantidade de registros (linhas) do tipo Consumo (CONT.SES). Não é quantidade de unidades.</t>
        </is>
      </c>
      <c r="G8" s="24" t="inlineStr">
        <is>
          <t>tbConsumo[Movimento_ID]</t>
        </is>
      </c>
    </row>
    <row r="9" ht="28" customHeight="1">
      <c r="A9" s="21" t="inlineStr">
        <is>
          <t>Materiais distintos movimentados</t>
        </is>
      </c>
      <c r="B9" s="22">
        <f>COUNTIF(B47:B66,"&gt;0")</f>
        <v>20</v>
      </c>
      <c r="C9" s="23" t="inlineStr">
        <is>
          <t>Materiais do catálogo com pelo menos 1 movimentação de Consumo (contagem sobre o resumo por material, seção 5).</t>
        </is>
      </c>
      <c r="G9" s="24" t="inlineStr">
        <is>
          <t>Seção 5 desta aba</t>
        </is>
      </c>
    </row>
    <row r="10" ht="28" customHeight="1">
      <c r="A10" s="21" t="inlineStr">
        <is>
          <t>Itens abaixo ou iguais ao mínimo</t>
        </is>
      </c>
      <c r="B10" s="22">
        <f>COUNTIF(tbEstoque[Status_Estoque],"REPOR")</f>
        <v>5</v>
      </c>
      <c r="C10" s="23" t="inlineStr">
        <is>
          <t>Itens com Status_Estoque = REPOR (Estoque_Atual &lt;= Estoque_Minimo).</t>
        </is>
      </c>
      <c r="G10" s="24" t="inlineStr">
        <is>
          <t>tbEstoque[Status_Estoque]</t>
        </is>
      </c>
    </row>
    <row r="11" ht="28" customHeight="1">
      <c r="A11" s="21" t="inlineStr">
        <is>
          <t>Itens críticos abaixo ou iguais ao mínimo</t>
        </is>
      </c>
      <c r="B11" s="22">
        <f>COUNTIF(tbEstoque[Critico_Em_Risco],"Sim")</f>
        <v>2</v>
      </c>
      <c r="C11" s="23" t="inlineStr">
        <is>
          <t>Itens com Criticidade = Alta e Estoque_Atual &lt;= Estoque_Minimo (Critico_Em_Risco = Sim).</t>
        </is>
      </c>
      <c r="G11" s="24" t="inlineStr">
        <is>
          <t>tbEstoque[Critico_Em_Risco]</t>
        </is>
      </c>
    </row>
    <row r="13">
      <c r="A13" s="8" t="inlineStr">
        <is>
          <t>Informativo: itens em ATENÇÃO</t>
        </is>
      </c>
      <c r="B13" s="26">
        <f>COUNTIF(tbEstoque[Status_Estoque],"ATENÇÃO")</f>
        <v>4</v>
      </c>
      <c r="C13" s="14" t="inlineStr">
        <is>
          <t>Atual &gt; Mínimo e Atual &lt;= Mínimo x (1 + margem). Não faz parte dos 6 KPIs.</t>
        </is>
      </c>
    </row>
    <row r="14">
      <c r="A14" s="8" t="inlineStr">
        <is>
          <t>Informativo: itens de criticidade Alta em ATENÇÃO</t>
        </is>
      </c>
      <c r="B14" s="26">
        <f>COUNTIFS(tbEstoque[Criticidade],"Alta",tbEstoque[Status_Estoque],"ATENÇÃO")</f>
        <v>2</v>
      </c>
      <c r="C14" s="14" t="inlineStr">
        <is>
          <t>Complementa o KPI 6, que considera apenas REPOR. Não faz parte dos 6 KPIs.</t>
        </is>
      </c>
    </row>
    <row r="16">
      <c r="A16" s="15" t="inlineStr">
        <is>
          <t>Conferências internas OK</t>
        </is>
      </c>
      <c r="B16" s="27" t="str">
        <f>COUNTIF(E72:E83,"OK")&amp;" de "&amp;ROWS(E72:E83)</f>
        <v>12 de 12</v>
      </c>
    </row>
    <row r="19">
      <c r="A19" s="17" t="inlineStr">
        <is>
          <t>2. Resumo por mês</t>
        </is>
      </c>
    </row>
    <row r="20">
      <c r="A20" s="18" t="inlineStr">
        <is>
          <t>Mês (aaaa-mm)</t>
        </is>
      </c>
      <c r="B20" s="18" t="inlineStr">
        <is>
          <t>Movimentações</t>
        </is>
      </c>
      <c r="C20" s="18" t="inlineStr">
        <is>
          <t>Unidades consumidas</t>
        </is>
      </c>
      <c r="D20" s="18" t="inlineStr">
        <is>
          <t>Custo estimado</t>
        </is>
      </c>
      <c r="E20" s="18" t="inlineStr">
        <is>
          <t>% do custo</t>
        </is>
      </c>
    </row>
    <row r="21">
      <c r="A21" s="28" t="str">
        <f>Parametros!$F$11</f>
        <v>2026-06</v>
      </c>
      <c r="B21" s="29">
        <f>COUNTIFS(tbConsumo[Mes],$A21,tbConsumo[Tipo_Movimentacao],"Consumo")</f>
        <v>65</v>
      </c>
      <c r="C21" s="29">
        <f>SUMIFS(tbConsumo[Quantidade],tbConsumo[Mes],$A21,tbConsumo[Tipo_Movimentacao],"Consumo")</f>
        <v>608</v>
      </c>
      <c r="D21" s="30">
        <f>SUMIFS(tbConsumo[Custo_Movimentado],tbConsumo[Mes],$A21,tbConsumo[Tipo_Movimentacao],"Consumo")</f>
        <v>8456.1</v>
      </c>
      <c r="E21" s="31">
        <f>IF(D$24=0,0,D21/D$24)</f>
        <v>0.343657289626192</v>
      </c>
    </row>
    <row r="22">
      <c r="A22" s="28" t="str">
        <f>Parametros!$F$12</f>
        <v>2026-07</v>
      </c>
      <c r="B22" s="29">
        <f>COUNTIFS(tbConsumo[Mes],$A22,tbConsumo[Tipo_Movimentacao],"Consumo")</f>
        <v>75</v>
      </c>
      <c r="C22" s="29">
        <f>SUMIFS(tbConsumo[Quantidade],tbConsumo[Mes],$A22,tbConsumo[Tipo_Movimentacao],"Consumo")</f>
        <v>691</v>
      </c>
      <c r="D22" s="30">
        <f>SUMIFS(tbConsumo[Custo_Movimentado],tbConsumo[Mes],$A22,tbConsumo[Tipo_Movimentacao],"Consumo")</f>
        <v>10933</v>
      </c>
      <c r="E22" s="31">
        <f>IF(D$24=0,0,D22/D$24)</f>
        <v>0.444318911493851</v>
      </c>
    </row>
    <row r="23">
      <c r="A23" s="28" t="str">
        <f>Parametros!$F$13</f>
        <v>2026-08</v>
      </c>
      <c r="B23" s="29">
        <f>COUNTIFS(tbConsumo[Mes],$A23,tbConsumo[Tipo_Movimentacao],"Consumo")</f>
        <v>40</v>
      </c>
      <c r="C23" s="29">
        <f>SUMIFS(tbConsumo[Quantidade],tbConsumo[Mes],$A23,tbConsumo[Tipo_Movimentacao],"Consumo")</f>
        <v>348</v>
      </c>
      <c r="D23" s="30">
        <f>SUMIFS(tbConsumo[Custo_Movimentado],tbConsumo[Mes],$A23,tbConsumo[Tipo_Movimentacao],"Consumo")</f>
        <v>5217.1</v>
      </c>
      <c r="E23" s="31">
        <f>IF(D$24=0,0,D23/D$24)</f>
        <v>0.212023798879957</v>
      </c>
    </row>
    <row r="24">
      <c r="A24" s="32" t="inlineStr">
        <is>
          <t>Total</t>
        </is>
      </c>
      <c r="B24" s="33">
        <f>SUM(B21:B23)</f>
        <v>180</v>
      </c>
      <c r="C24" s="33">
        <f>SUM(C21:C23)</f>
        <v>1647</v>
      </c>
      <c r="D24" s="34">
        <f>SUM(D21:D23)</f>
        <v>24606.2</v>
      </c>
      <c r="E24" s="35">
        <f>SUM(E21:E23)</f>
        <v>1</v>
      </c>
    </row>
    <row r="26">
      <c r="A26" s="17" t="inlineStr">
        <is>
          <t>3. Resumo por categoria</t>
        </is>
      </c>
    </row>
    <row r="27">
      <c r="A27" s="18" t="inlineStr">
        <is>
          <t>Categoria</t>
        </is>
      </c>
      <c r="B27" s="18" t="inlineStr">
        <is>
          <t>Movimentações</t>
        </is>
      </c>
      <c r="C27" s="18" t="inlineStr">
        <is>
          <t>Unidades consumidas</t>
        </is>
      </c>
      <c r="D27" s="18" t="inlineStr">
        <is>
          <t>Custo estimado</t>
        </is>
      </c>
      <c r="E27" s="18" t="inlineStr">
        <is>
          <t>% do custo</t>
        </is>
      </c>
    </row>
    <row r="28">
      <c r="A28" s="28" t="str">
        <f>Parametros!$A$11</f>
        <v>Abrasivos</v>
      </c>
      <c r="B28" s="29">
        <f>COUNTIFS(tbConsumo[Categoria],$A28,tbConsumo[Tipo_Movimentacao],"Consumo")</f>
        <v>38</v>
      </c>
      <c r="C28" s="29">
        <f>SUMIFS(tbConsumo[Quantidade],tbConsumo[Categoria],$A28,tbConsumo[Tipo_Movimentacao],"Consumo")</f>
        <v>419</v>
      </c>
      <c r="D28" s="30">
        <f>SUMIFS(tbConsumo[Custo_Movimentado],tbConsumo[Categoria],$A28,tbConsumo[Tipo_Movimentacao],"Consumo")</f>
        <v>4179.4</v>
      </c>
      <c r="E28" s="31">
        <f>IF(D$34=0,0,D28/D$34)</f>
        <v>0.169851500841251</v>
      </c>
    </row>
    <row r="29">
      <c r="A29" s="28" t="str">
        <f>Parametros!$A$12</f>
        <v>Soldagem</v>
      </c>
      <c r="B29" s="29">
        <f>COUNTIFS(tbConsumo[Categoria],$A29,tbConsumo[Tipo_Movimentacao],"Consumo")</f>
        <v>28</v>
      </c>
      <c r="C29" s="29">
        <f>SUMIFS(tbConsumo[Quantidade],tbConsumo[Categoria],$A29,tbConsumo[Tipo_Movimentacao],"Consumo")</f>
        <v>57</v>
      </c>
      <c r="D29" s="30">
        <f>SUMIFS(tbConsumo[Custo_Movimentado],tbConsumo[Categoria],$A29,tbConsumo[Tipo_Movimentacao],"Consumo")</f>
        <v>4869</v>
      </c>
      <c r="E29" s="31">
        <f>IF(D$34=0,0,D29/D$34)</f>
        <v>0.197876957839894</v>
      </c>
    </row>
    <row r="30">
      <c r="A30" s="28" t="str">
        <f>Parametros!$A$13</f>
        <v>Corte</v>
      </c>
      <c r="B30" s="29">
        <f>COUNTIFS(tbConsumo[Categoria],$A30,tbConsumo[Tipo_Movimentacao],"Consumo")</f>
        <v>43</v>
      </c>
      <c r="C30" s="29">
        <f>SUMIFS(tbConsumo[Quantidade],tbConsumo[Categoria],$A30,tbConsumo[Tipo_Movimentacao],"Consumo")</f>
        <v>940</v>
      </c>
      <c r="D30" s="30">
        <f>SUMIFS(tbConsumo[Custo_Movimentado],tbConsumo[Categoria],$A30,tbConsumo[Tipo_Movimentacao],"Consumo")</f>
        <v>7565.3</v>
      </c>
      <c r="E30" s="31">
        <f>IF(D$34=0,0,D30/D$34)</f>
        <v>0.307455031658688</v>
      </c>
    </row>
    <row r="31">
      <c r="A31" s="28" t="str">
        <f>Parametros!$A$14</f>
        <v>Elétrica</v>
      </c>
      <c r="B31" s="29">
        <f>COUNTIFS(tbConsumo[Categoria],$A31,tbConsumo[Tipo_Movimentacao],"Consumo")</f>
        <v>28</v>
      </c>
      <c r="C31" s="29">
        <f>SUMIFS(tbConsumo[Quantidade],tbConsumo[Categoria],$A31,tbConsumo[Tipo_Movimentacao],"Consumo")</f>
        <v>45</v>
      </c>
      <c r="D31" s="30">
        <f>SUMIFS(tbConsumo[Custo_Movimentado],tbConsumo[Categoria],$A31,tbConsumo[Tipo_Movimentacao],"Consumo")</f>
        <v>4871</v>
      </c>
      <c r="E31" s="31">
        <f>IF(D$34=0,0,D31/D$34)</f>
        <v>0.197958238167616</v>
      </c>
    </row>
    <row r="32">
      <c r="A32" s="28" t="str">
        <f>Parametros!$A$15</f>
        <v>EPI</v>
      </c>
      <c r="B32" s="29">
        <f>COUNTIFS(tbConsumo[Categoria],$A32,tbConsumo[Tipo_Movimentacao],"Consumo")</f>
        <v>34</v>
      </c>
      <c r="C32" s="29">
        <f>SUMIFS(tbConsumo[Quantidade],tbConsumo[Categoria],$A32,tbConsumo[Tipo_Movimentacao],"Consumo")</f>
        <v>169</v>
      </c>
      <c r="D32" s="30">
        <f>SUMIFS(tbConsumo[Custo_Movimentado],tbConsumo[Categoria],$A32,tbConsumo[Tipo_Movimentacao],"Consumo")</f>
        <v>2751.5</v>
      </c>
      <c r="E32" s="31">
        <f>IF(D$34=0,0,D32/D$34)</f>
        <v>0.111821410863929</v>
      </c>
    </row>
    <row r="33">
      <c r="A33" s="28" t="str">
        <f>Parametros!$A$16</f>
        <v>Ferramentas</v>
      </c>
      <c r="B33" s="29">
        <f>COUNTIFS(tbConsumo[Categoria],$A33,tbConsumo[Tipo_Movimentacao],"Consumo")</f>
        <v>9</v>
      </c>
      <c r="C33" s="29">
        <f>SUMIFS(tbConsumo[Quantidade],tbConsumo[Categoria],$A33,tbConsumo[Tipo_Movimentacao],"Consumo")</f>
        <v>17</v>
      </c>
      <c r="D33" s="30">
        <f>SUMIFS(tbConsumo[Custo_Movimentado],tbConsumo[Categoria],$A33,tbConsumo[Tipo_Movimentacao],"Consumo")</f>
        <v>370</v>
      </c>
      <c r="E33" s="31">
        <f>IF(D$34=0,0,D33/D$34)</f>
        <v>0.0150368606286221</v>
      </c>
    </row>
    <row r="34">
      <c r="A34" s="32" t="inlineStr">
        <is>
          <t>Total</t>
        </is>
      </c>
      <c r="B34" s="33">
        <f>SUM(B28:B33)</f>
        <v>180</v>
      </c>
      <c r="C34" s="33">
        <f>SUM(C28:C33)</f>
        <v>1647</v>
      </c>
      <c r="D34" s="34">
        <f>SUM(D28:D33)</f>
        <v>24606.2</v>
      </c>
      <c r="E34" s="35">
        <f>SUM(E28:E33)</f>
        <v>1</v>
      </c>
    </row>
    <row r="36">
      <c r="A36" s="17" t="inlineStr">
        <is>
          <t>4. Resumo por centro de trabalho</t>
        </is>
      </c>
    </row>
    <row r="37">
      <c r="A37" s="18" t="inlineStr">
        <is>
          <t>Centro_Trabalho</t>
        </is>
      </c>
      <c r="B37" s="18" t="inlineStr">
        <is>
          <t>Movimentações</t>
        </is>
      </c>
      <c r="C37" s="18" t="inlineStr">
        <is>
          <t>Unidades consumidas</t>
        </is>
      </c>
      <c r="D37" s="18" t="inlineStr">
        <is>
          <t>Custo estimado</t>
        </is>
      </c>
      <c r="E37" s="18" t="inlineStr">
        <is>
          <t>% do custo</t>
        </is>
      </c>
    </row>
    <row r="38">
      <c r="A38" s="28" t="str">
        <f>Parametros!$D$11</f>
        <v>MANUTENCAO</v>
      </c>
      <c r="B38" s="29">
        <f>COUNTIFS(tbConsumo[Centro_Trabalho],$A38,tbConsumo[Tipo_Movimentacao],"Consumo")</f>
        <v>54</v>
      </c>
      <c r="C38" s="29">
        <f>SUMIFS(tbConsumo[Quantidade],tbConsumo[Centro_Trabalho],$A38,tbConsumo[Tipo_Movimentacao],"Consumo")</f>
        <v>413</v>
      </c>
      <c r="D38" s="30">
        <f>SUMIFS(tbConsumo[Custo_Movimentado],tbConsumo[Centro_Trabalho],$A38,tbConsumo[Tipo_Movimentacao],"Consumo")</f>
        <v>6402.2</v>
      </c>
      <c r="E38" s="31">
        <f>IF(D$43=0,0,D38/D$43)</f>
        <v>0.260186457071795</v>
      </c>
    </row>
    <row r="39">
      <c r="A39" s="28" t="str">
        <f>Parametros!$D$12</f>
        <v>SOLDAGEM</v>
      </c>
      <c r="B39" s="29">
        <f>COUNTIFS(tbConsumo[Centro_Trabalho],$A39,tbConsumo[Tipo_Movimentacao],"Consumo")</f>
        <v>42</v>
      </c>
      <c r="C39" s="29">
        <f>SUMIFS(tbConsumo[Quantidade],tbConsumo[Centro_Trabalho],$A39,tbConsumo[Tipo_Movimentacao],"Consumo")</f>
        <v>388</v>
      </c>
      <c r="D39" s="30">
        <f>SUMIFS(tbConsumo[Custo_Movimentado],tbConsumo[Centro_Trabalho],$A39,tbConsumo[Tipo_Movimentacao],"Consumo")</f>
        <v>5739.8</v>
      </c>
      <c r="E39" s="31">
        <f>IF(D$43=0,0,D39/D$43)</f>
        <v>0.233266412530175</v>
      </c>
    </row>
    <row r="40">
      <c r="A40" s="28" t="str">
        <f>Parametros!$D$13</f>
        <v>FABRICACAO</v>
      </c>
      <c r="B40" s="29">
        <f>COUNTIFS(tbConsumo[Centro_Trabalho],$A40,tbConsumo[Tipo_Movimentacao],"Consumo")</f>
        <v>32</v>
      </c>
      <c r="C40" s="29">
        <f>SUMIFS(tbConsumo[Quantidade],tbConsumo[Centro_Trabalho],$A40,tbConsumo[Tipo_Movimentacao],"Consumo")</f>
        <v>384</v>
      </c>
      <c r="D40" s="30">
        <f>SUMIFS(tbConsumo[Custo_Movimentado],tbConsumo[Centro_Trabalho],$A40,tbConsumo[Tipo_Movimentacao],"Consumo")</f>
        <v>4806.5</v>
      </c>
      <c r="E40" s="31">
        <f>IF(D$43=0,0,D40/D$43)</f>
        <v>0.195336947598573</v>
      </c>
    </row>
    <row r="41">
      <c r="A41" s="28" t="str">
        <f>Parametros!$D$14</f>
        <v>MECANICA</v>
      </c>
      <c r="B41" s="29">
        <f>COUNTIFS(tbConsumo[Centro_Trabalho],$A41,tbConsumo[Tipo_Movimentacao],"Consumo")</f>
        <v>30</v>
      </c>
      <c r="C41" s="29">
        <f>SUMIFS(tbConsumo[Quantidade],tbConsumo[Centro_Trabalho],$A41,tbConsumo[Tipo_Movimentacao],"Consumo")</f>
        <v>423</v>
      </c>
      <c r="D41" s="30">
        <f>SUMIFS(tbConsumo[Custo_Movimentado],tbConsumo[Centro_Trabalho],$A41,tbConsumo[Tipo_Movimentacao],"Consumo")</f>
        <v>3909.7</v>
      </c>
      <c r="E41" s="31">
        <f>IF(D$43=0,0,D41/D$43)</f>
        <v>0.158890848647902</v>
      </c>
    </row>
    <row r="42">
      <c r="A42" s="28" t="str">
        <f>Parametros!$D$15</f>
        <v>ELETRICA</v>
      </c>
      <c r="B42" s="29">
        <f>COUNTIFS(tbConsumo[Centro_Trabalho],$A42,tbConsumo[Tipo_Movimentacao],"Consumo")</f>
        <v>22</v>
      </c>
      <c r="C42" s="29">
        <f>SUMIFS(tbConsumo[Quantidade],tbConsumo[Centro_Trabalho],$A42,tbConsumo[Tipo_Movimentacao],"Consumo")</f>
        <v>39</v>
      </c>
      <c r="D42" s="30">
        <f>SUMIFS(tbConsumo[Custo_Movimentado],tbConsumo[Centro_Trabalho],$A42,tbConsumo[Tipo_Movimentacao],"Consumo")</f>
        <v>3748</v>
      </c>
      <c r="E42" s="31">
        <f>IF(D$43=0,0,D42/D$43)</f>
        <v>0.152319334151555</v>
      </c>
    </row>
    <row r="43">
      <c r="A43" s="32" t="inlineStr">
        <is>
          <t>Total</t>
        </is>
      </c>
      <c r="B43" s="33">
        <f>SUM(B38:B42)</f>
        <v>180</v>
      </c>
      <c r="C43" s="33">
        <f>SUM(C38:C42)</f>
        <v>1647</v>
      </c>
      <c r="D43" s="34">
        <f>SUM(D38:D42)</f>
        <v>24606.2</v>
      </c>
      <c r="E43" s="35">
        <f>SUM(E38:E42)</f>
        <v>1</v>
      </c>
    </row>
    <row r="45">
      <c r="A45" s="17" t="inlineStr">
        <is>
          <t>5. Resumo por material</t>
        </is>
      </c>
    </row>
    <row r="46">
      <c r="A46" s="18" t="inlineStr">
        <is>
          <t>Material_ID</t>
        </is>
      </c>
      <c r="B46" s="18" t="inlineStr">
        <is>
          <t>Movimentações</t>
        </is>
      </c>
      <c r="C46" s="18" t="inlineStr">
        <is>
          <t>Unidades consumidas</t>
        </is>
      </c>
      <c r="D46" s="18" t="inlineStr">
        <is>
          <t>Custo estimado</t>
        </is>
      </c>
      <c r="E46" s="18" t="inlineStr">
        <is>
          <t>% do custo</t>
        </is>
      </c>
      <c r="F46" s="36" t="inlineStr">
        <is>
          <t>Material</t>
        </is>
      </c>
      <c r="G46" s="36" t="inlineStr">
        <is>
          <t>Categoria</t>
        </is>
      </c>
      <c r="H46" s="36" t="inlineStr">
        <is>
          <t>Criticidade</t>
        </is>
      </c>
      <c r="I46" s="36" t="inlineStr">
        <is>
          <t>Estoque_Atual</t>
        </is>
      </c>
      <c r="J46" s="36" t="inlineStr">
        <is>
          <t>Status_Estoque</t>
        </is>
      </c>
    </row>
    <row r="47">
      <c r="A47" s="28" t="str">
        <f>Materiais!$A$2</f>
        <v>MAT001</v>
      </c>
      <c r="B47" s="29">
        <f>COUNTIFS(tbConsumo[Material_ID],$A47,tbConsumo[Tipo_Movimentacao],"Consumo")</f>
        <v>13</v>
      </c>
      <c r="C47" s="29">
        <f>SUMIFS(tbConsumo[Quantidade],tbConsumo[Material_ID],$A47,tbConsumo[Tipo_Movimentacao],"Consumo")</f>
        <v>169</v>
      </c>
      <c r="D47" s="30">
        <f>SUMIFS(tbConsumo[Custo_Movimentado],tbConsumo[Material_ID],$A47,tbConsumo[Tipo_Movimentacao],"Consumo")</f>
        <v>1656.2</v>
      </c>
      <c r="E47" s="31">
        <f>IF(D$67=0,0,D47/D$67)</f>
        <v>0.0673082393868212</v>
      </c>
      <c r="F47" s="28" t="str">
        <f>IFERROR(INDEX(tbMateriais[Material],MATCH($A47,tbMateriais[Material_ID],0)),"Não encontrado")</f>
        <v>Disco de Desbaste 7 pol</v>
      </c>
      <c r="G47" s="28" t="str">
        <f>IFERROR(INDEX(tbMateriais[Categoria],MATCH($A47,tbMateriais[Material_ID],0)),"Não encontrado")</f>
        <v>Abrasivos</v>
      </c>
      <c r="H47" s="28" t="str">
        <f>IFERROR(INDEX(tbMateriais[Criticidade],MATCH($A47,tbMateriais[Material_ID],0)),"Não encontrado")</f>
        <v>Média</v>
      </c>
      <c r="I47" s="28">
        <f>IFERROR(INDEX(tbEstoque[Estoque_Atual],MATCH($A47,tbEstoque[Material_ID],0)),"Sem estoque")</f>
        <v>120</v>
      </c>
      <c r="J47" s="28" t="str">
        <f>IFERROR(INDEX(tbEstoque[Status_Estoque],MATCH($A47,tbEstoque[Material_ID],0)),"Sem estoque")</f>
        <v>OK</v>
      </c>
    </row>
    <row r="48">
      <c r="A48" s="28" t="str">
        <f>Materiais!$A$3</f>
        <v>MAT002</v>
      </c>
      <c r="B48" s="29">
        <f>COUNTIFS(tbConsumo[Material_ID],$A48,tbConsumo[Tipo_Movimentacao],"Consumo")</f>
        <v>14</v>
      </c>
      <c r="C48" s="29">
        <f>SUMIFS(tbConsumo[Quantidade],tbConsumo[Material_ID],$A48,tbConsumo[Tipo_Movimentacao],"Consumo")</f>
        <v>228</v>
      </c>
      <c r="D48" s="30">
        <f>SUMIFS(tbConsumo[Custo_Movimentado],tbConsumo[Material_ID],$A48,tbConsumo[Tipo_Movimentacao],"Consumo")</f>
        <v>1687.2</v>
      </c>
      <c r="E48" s="31">
        <f>IF(D$67=0,0,D48/D$67)</f>
        <v>0.0685680844665166</v>
      </c>
      <c r="F48" s="28" t="str">
        <f>IFERROR(INDEX(tbMateriais[Material],MATCH($A48,tbMateriais[Material_ID],0)),"Não encontrado")</f>
        <v>Disco Flap 4,5 pol Grão 60</v>
      </c>
      <c r="G48" s="28" t="str">
        <f>IFERROR(INDEX(tbMateriais[Categoria],MATCH($A48,tbMateriais[Material_ID],0)),"Não encontrado")</f>
        <v>Abrasivos</v>
      </c>
      <c r="H48" s="28" t="str">
        <f>IFERROR(INDEX(tbMateriais[Criticidade],MATCH($A48,tbMateriais[Material_ID],0)),"Não encontrado")</f>
        <v>Baixa</v>
      </c>
      <c r="I48" s="28">
        <f>IFERROR(INDEX(tbEstoque[Estoque_Atual],MATCH($A48,tbEstoque[Material_ID],0)),"Sem estoque")</f>
        <v>30</v>
      </c>
      <c r="J48" s="28" t="str">
        <f>IFERROR(INDEX(tbEstoque[Status_Estoque],MATCH($A48,tbEstoque[Material_ID],0)),"Sem estoque")</f>
        <v>REPOR</v>
      </c>
    </row>
    <row r="49">
      <c r="A49" s="28" t="str">
        <f>Materiais!$A$4</f>
        <v>MAT003</v>
      </c>
      <c r="B49" s="29">
        <f>COUNTIFS(tbConsumo[Material_ID],$A49,tbConsumo[Tipo_Movimentacao],"Consumo")</f>
        <v>11</v>
      </c>
      <c r="C49" s="29">
        <f>SUMIFS(tbConsumo[Quantidade],tbConsumo[Material_ID],$A49,tbConsumo[Tipo_Movimentacao],"Consumo")</f>
        <v>22</v>
      </c>
      <c r="D49" s="30">
        <f>SUMIFS(tbConsumo[Custo_Movimentado],tbConsumo[Material_ID],$A49,tbConsumo[Tipo_Movimentacao],"Consumo")</f>
        <v>836</v>
      </c>
      <c r="E49" s="31">
        <f>IF(D$67=0,0,D49/D$67)</f>
        <v>0.0339751769879136</v>
      </c>
      <c r="F49" s="28" t="str">
        <f>IFERROR(INDEX(tbMateriais[Material],MATCH($A49,tbMateriais[Material_ID],0)),"Não encontrado")</f>
        <v>Lixa de Ferro Grão 80</v>
      </c>
      <c r="G49" s="28" t="str">
        <f>IFERROR(INDEX(tbMateriais[Categoria],MATCH($A49,tbMateriais[Material_ID],0)),"Não encontrado")</f>
        <v>Abrasivos</v>
      </c>
      <c r="H49" s="28" t="str">
        <f>IFERROR(INDEX(tbMateriais[Criticidade],MATCH($A49,tbMateriais[Material_ID],0)),"Não encontrado")</f>
        <v>Baixa</v>
      </c>
      <c r="I49" s="28">
        <f>IFERROR(INDEX(tbEstoque[Estoque_Atual],MATCH($A49,tbEstoque[Material_ID],0)),"Sem estoque")</f>
        <v>34</v>
      </c>
      <c r="J49" s="28" t="str">
        <f>IFERROR(INDEX(tbEstoque[Status_Estoque],MATCH($A49,tbEstoque[Material_ID],0)),"Sem estoque")</f>
        <v>OK</v>
      </c>
    </row>
    <row r="50">
      <c r="A50" s="28" t="str">
        <f>Materiais!$A$5</f>
        <v>MAT004</v>
      </c>
      <c r="B50" s="29">
        <f>COUNTIFS(tbConsumo[Material_ID],$A50,tbConsumo[Tipo_Movimentacao],"Consumo")</f>
        <v>12</v>
      </c>
      <c r="C50" s="29">
        <f>SUMIFS(tbConsumo[Quantidade],tbConsumo[Material_ID],$A50,tbConsumo[Tipo_Movimentacao],"Consumo")</f>
        <v>23</v>
      </c>
      <c r="D50" s="30">
        <f>SUMIFS(tbConsumo[Custo_Movimentado],tbConsumo[Material_ID],$A50,tbConsumo[Tipo_Movimentacao],"Consumo")</f>
        <v>1035</v>
      </c>
      <c r="E50" s="31">
        <f>IF(D$67=0,0,D50/D$67)</f>
        <v>0.0420625695962806</v>
      </c>
      <c r="F50" s="28" t="str">
        <f>IFERROR(INDEX(tbMateriais[Material],MATCH($A50,tbMateriais[Material_ID],0)),"Não encontrado")</f>
        <v>Bico de Contato MIG 1,0 mm</v>
      </c>
      <c r="G50" s="28" t="str">
        <f>IFERROR(INDEX(tbMateriais[Categoria],MATCH($A50,tbMateriais[Material_ID],0)),"Não encontrado")</f>
        <v>Soldagem</v>
      </c>
      <c r="H50" s="28" t="str">
        <f>IFERROR(INDEX(tbMateriais[Criticidade],MATCH($A50,tbMateriais[Material_ID],0)),"Não encontrado")</f>
        <v>Média</v>
      </c>
      <c r="I50" s="28">
        <f>IFERROR(INDEX(tbEstoque[Estoque_Atual],MATCH($A50,tbEstoque[Material_ID],0)),"Sem estoque")</f>
        <v>9</v>
      </c>
      <c r="J50" s="28" t="str">
        <f>IFERROR(INDEX(tbEstoque[Status_Estoque],MATCH($A50,tbEstoque[Material_ID],0)),"Sem estoque")</f>
        <v>ATENÇÃO</v>
      </c>
    </row>
    <row r="51">
      <c r="A51" s="28" t="str">
        <f>Materiais!$A$6</f>
        <v>MAT005</v>
      </c>
      <c r="B51" s="29">
        <f>COUNTIFS(tbConsumo[Material_ID],$A51,tbConsumo[Tipo_Movimentacao],"Consumo")</f>
        <v>12</v>
      </c>
      <c r="C51" s="29">
        <f>SUMIFS(tbConsumo[Quantidade],tbConsumo[Material_ID],$A51,tbConsumo[Tipo_Movimentacao],"Consumo")</f>
        <v>29</v>
      </c>
      <c r="D51" s="30">
        <f>SUMIFS(tbConsumo[Custo_Movimentado],tbConsumo[Material_ID],$A51,tbConsumo[Tipo_Movimentacao],"Consumo")</f>
        <v>2784</v>
      </c>
      <c r="E51" s="31">
        <f>IF(D$67=0,0,D51/D$67)</f>
        <v>0.113142216189416</v>
      </c>
      <c r="F51" s="28" t="str">
        <f>IFERROR(INDEX(tbMateriais[Material],MATCH($A51,tbMateriais[Material_ID],0)),"Não encontrado")</f>
        <v>Eletrodo Revestido 2,5 mm</v>
      </c>
      <c r="G51" s="28" t="str">
        <f>IFERROR(INDEX(tbMateriais[Categoria],MATCH($A51,tbMateriais[Material_ID],0)),"Não encontrado")</f>
        <v>Soldagem</v>
      </c>
      <c r="H51" s="28" t="str">
        <f>IFERROR(INDEX(tbMateriais[Criticidade],MATCH($A51,tbMateriais[Material_ID],0)),"Não encontrado")</f>
        <v>Alta</v>
      </c>
      <c r="I51" s="28">
        <f>IFERROR(INDEX(tbEstoque[Estoque_Atual],MATCH($A51,tbEstoque[Material_ID],0)),"Sem estoque")</f>
        <v>7</v>
      </c>
      <c r="J51" s="28" t="str">
        <f>IFERROR(INDEX(tbEstoque[Status_Estoque],MATCH($A51,tbEstoque[Material_ID],0)),"Sem estoque")</f>
        <v>REPOR</v>
      </c>
    </row>
    <row r="52">
      <c r="A52" s="28" t="str">
        <f>Materiais!$A$7</f>
        <v>MAT006</v>
      </c>
      <c r="B52" s="29">
        <f>COUNTIFS(tbConsumo[Material_ID],$A52,tbConsumo[Tipo_Movimentacao],"Consumo")</f>
        <v>4</v>
      </c>
      <c r="C52" s="29">
        <f>SUMIFS(tbConsumo[Quantidade],tbConsumo[Material_ID],$A52,tbConsumo[Tipo_Movimentacao],"Consumo")</f>
        <v>5</v>
      </c>
      <c r="D52" s="30">
        <f>SUMIFS(tbConsumo[Custo_Movimentado],tbConsumo[Material_ID],$A52,tbConsumo[Tipo_Movimentacao],"Consumo")</f>
        <v>1050</v>
      </c>
      <c r="E52" s="31">
        <f>IF(D$67=0,0,D52/D$67)</f>
        <v>0.0426721720541977</v>
      </c>
      <c r="F52" s="28" t="str">
        <f>IFERROR(INDEX(tbMateriais[Material],MATCH($A52,tbMateriais[Material_ID],0)),"Não encontrado")</f>
        <v>Arame MIG 1,0 mm Bobina</v>
      </c>
      <c r="G52" s="28" t="str">
        <f>IFERROR(INDEX(tbMateriais[Categoria],MATCH($A52,tbMateriais[Material_ID],0)),"Não encontrado")</f>
        <v>Soldagem</v>
      </c>
      <c r="H52" s="28" t="str">
        <f>IFERROR(INDEX(tbMateriais[Criticidade],MATCH($A52,tbMateriais[Material_ID],0)),"Não encontrado")</f>
        <v>Alta</v>
      </c>
      <c r="I52" s="28">
        <f>IFERROR(INDEX(tbEstoque[Estoque_Atual],MATCH($A52,tbEstoque[Material_ID],0)),"Sem estoque")</f>
        <v>14</v>
      </c>
      <c r="J52" s="28" t="str">
        <f>IFERROR(INDEX(tbEstoque[Status_Estoque],MATCH($A52,tbEstoque[Material_ID],0)),"Sem estoque")</f>
        <v>OK</v>
      </c>
    </row>
    <row r="53">
      <c r="A53" s="28" t="str">
        <f>Materiais!$A$8</f>
        <v>MAT007</v>
      </c>
      <c r="B53" s="29">
        <f>COUNTIFS(tbConsumo[Material_ID],$A53,tbConsumo[Tipo_Movimentacao],"Consumo")</f>
        <v>14</v>
      </c>
      <c r="C53" s="29">
        <f>SUMIFS(tbConsumo[Quantidade],tbConsumo[Material_ID],$A53,tbConsumo[Tipo_Movimentacao],"Consumo")</f>
        <v>244</v>
      </c>
      <c r="D53" s="30">
        <f>SUMIFS(tbConsumo[Custo_Movimentado],tbConsumo[Material_ID],$A53,tbConsumo[Tipo_Movimentacao],"Consumo")</f>
        <v>3050</v>
      </c>
      <c r="E53" s="31">
        <f>IF(D$67=0,0,D53/D$67)</f>
        <v>0.123952499776479</v>
      </c>
      <c r="F53" s="28" t="str">
        <f>IFERROR(INDEX(tbMateriais[Material],MATCH($A53,tbMateriais[Material_ID],0)),"Não encontrado")</f>
        <v>Disco de Corte 7 pol</v>
      </c>
      <c r="G53" s="28" t="str">
        <f>IFERROR(INDEX(tbMateriais[Categoria],MATCH($A53,tbMateriais[Material_ID],0)),"Não encontrado")</f>
        <v>Corte</v>
      </c>
      <c r="H53" s="28" t="str">
        <f>IFERROR(INDEX(tbMateriais[Criticidade],MATCH($A53,tbMateriais[Material_ID],0)),"Não encontrado")</f>
        <v>Alta</v>
      </c>
      <c r="I53" s="28">
        <f>IFERROR(INDEX(tbEstoque[Estoque_Atual],MATCH($A53,tbEstoque[Material_ID],0)),"Sem estoque")</f>
        <v>74</v>
      </c>
      <c r="J53" s="28" t="str">
        <f>IFERROR(INDEX(tbEstoque[Status_Estoque],MATCH($A53,tbEstoque[Material_ID],0)),"Sem estoque")</f>
        <v>ATENÇÃO</v>
      </c>
    </row>
    <row r="54">
      <c r="A54" s="28" t="str">
        <f>Materiais!$A$9</f>
        <v>MAT008</v>
      </c>
      <c r="B54" s="29">
        <f>COUNTIFS(tbConsumo[Material_ID],$A54,tbConsumo[Tipo_Movimentacao],"Consumo")</f>
        <v>22</v>
      </c>
      <c r="C54" s="29">
        <f>SUMIFS(tbConsumo[Quantidade],tbConsumo[Material_ID],$A54,tbConsumo[Tipo_Movimentacao],"Consumo")</f>
        <v>687</v>
      </c>
      <c r="D54" s="30">
        <f>SUMIFS(tbConsumo[Custo_Movimentado],tbConsumo[Material_ID],$A54,tbConsumo[Tipo_Movimentacao],"Consumo")</f>
        <v>4053.3</v>
      </c>
      <c r="E54" s="31">
        <f>IF(D$67=0,0,D54/D$67)</f>
        <v>0.164726776178362</v>
      </c>
      <c r="F54" s="28" t="str">
        <f>IFERROR(INDEX(tbMateriais[Material],MATCH($A54,tbMateriais[Material_ID],0)),"Não encontrado")</f>
        <v>Disco de Corte 4,5 pol</v>
      </c>
      <c r="G54" s="28" t="str">
        <f>IFERROR(INDEX(tbMateriais[Categoria],MATCH($A54,tbMateriais[Material_ID],0)),"Não encontrado")</f>
        <v>Corte</v>
      </c>
      <c r="H54" s="28" t="str">
        <f>IFERROR(INDEX(tbMateriais[Criticidade],MATCH($A54,tbMateriais[Material_ID],0)),"Não encontrado")</f>
        <v>Média</v>
      </c>
      <c r="I54" s="28">
        <f>IFERROR(INDEX(tbEstoque[Estoque_Atual],MATCH($A54,tbEstoque[Material_ID],0)),"Sem estoque")</f>
        <v>210</v>
      </c>
      <c r="J54" s="28" t="str">
        <f>IFERROR(INDEX(tbEstoque[Status_Estoque],MATCH($A54,tbEstoque[Material_ID],0)),"Sem estoque")</f>
        <v>OK</v>
      </c>
    </row>
    <row r="55">
      <c r="A55" s="28" t="str">
        <f>Materiais!$A$10</f>
        <v>MAT009</v>
      </c>
      <c r="B55" s="29">
        <f>COUNTIFS(tbConsumo[Material_ID],$A55,tbConsumo[Tipo_Movimentacao],"Consumo")</f>
        <v>5</v>
      </c>
      <c r="C55" s="29">
        <f>SUMIFS(tbConsumo[Quantidade],tbConsumo[Material_ID],$A55,tbConsumo[Tipo_Movimentacao],"Consumo")</f>
        <v>6</v>
      </c>
      <c r="D55" s="30">
        <f>SUMIFS(tbConsumo[Custo_Movimentado],tbConsumo[Material_ID],$A55,tbConsumo[Tipo_Movimentacao],"Consumo")</f>
        <v>276</v>
      </c>
      <c r="E55" s="31">
        <f>IF(D$67=0,0,D55/D$67)</f>
        <v>0.0112166852256748</v>
      </c>
      <c r="F55" s="28" t="str">
        <f>IFERROR(INDEX(tbMateriais[Material],MATCH($A55,tbMateriais[Material_ID],0)),"Não encontrado")</f>
        <v>Serra Copo 51 mm</v>
      </c>
      <c r="G55" s="28" t="str">
        <f>IFERROR(INDEX(tbMateriais[Categoria],MATCH($A55,tbMateriais[Material_ID],0)),"Não encontrado")</f>
        <v>Corte</v>
      </c>
      <c r="H55" s="28" t="str">
        <f>IFERROR(INDEX(tbMateriais[Criticidade],MATCH($A55,tbMateriais[Material_ID],0)),"Não encontrado")</f>
        <v>Baixa</v>
      </c>
      <c r="I55" s="28">
        <f>IFERROR(INDEX(tbEstoque[Estoque_Atual],MATCH($A55,tbEstoque[Material_ID],0)),"Sem estoque")</f>
        <v>12</v>
      </c>
      <c r="J55" s="28" t="str">
        <f>IFERROR(INDEX(tbEstoque[Status_Estoque],MATCH($A55,tbEstoque[Material_ID],0)),"Sem estoque")</f>
        <v>OK</v>
      </c>
    </row>
    <row r="56">
      <c r="A56" s="28" t="str">
        <f>Materiais!$A$11</f>
        <v>MAT010</v>
      </c>
      <c r="B56" s="29">
        <f>COUNTIFS(tbConsumo[Material_ID],$A56,tbConsumo[Tipo_Movimentacao],"Consumo")</f>
        <v>2</v>
      </c>
      <c r="C56" s="29">
        <f>SUMIFS(tbConsumo[Quantidade],tbConsumo[Material_ID],$A56,tbConsumo[Tipo_Movimentacao],"Consumo")</f>
        <v>3</v>
      </c>
      <c r="D56" s="30">
        <f>SUMIFS(tbConsumo[Custo_Movimentado],tbConsumo[Material_ID],$A56,tbConsumo[Tipo_Movimentacao],"Consumo")</f>
        <v>186</v>
      </c>
      <c r="E56" s="31">
        <f>IF(D$67=0,0,D56/D$67)</f>
        <v>0.00755907047817217</v>
      </c>
      <c r="F56" s="28" t="str">
        <f>IFERROR(INDEX(tbMateriais[Material],MATCH($A56,tbMateriais[Material_ID],0)),"Não encontrado")</f>
        <v>Lâmina de Serra Sabre</v>
      </c>
      <c r="G56" s="28" t="str">
        <f>IFERROR(INDEX(tbMateriais[Categoria],MATCH($A56,tbMateriais[Material_ID],0)),"Não encontrado")</f>
        <v>Corte</v>
      </c>
      <c r="H56" s="28" t="str">
        <f>IFERROR(INDEX(tbMateriais[Criticidade],MATCH($A56,tbMateriais[Material_ID],0)),"Não encontrado")</f>
        <v>Média</v>
      </c>
      <c r="I56" s="28">
        <f>IFERROR(INDEX(tbEstoque[Estoque_Atual],MATCH($A56,tbEstoque[Material_ID],0)),"Sem estoque")</f>
        <v>5</v>
      </c>
      <c r="J56" s="28" t="str">
        <f>IFERROR(INDEX(tbEstoque[Status_Estoque],MATCH($A56,tbEstoque[Material_ID],0)),"Sem estoque")</f>
        <v>REPOR</v>
      </c>
    </row>
    <row r="57">
      <c r="A57" s="28" t="str">
        <f>Materiais!$A$12</f>
        <v>MAT011</v>
      </c>
      <c r="B57" s="29">
        <f>COUNTIFS(tbConsumo[Material_ID],$A57,tbConsumo[Tipo_Movimentacao],"Consumo")</f>
        <v>9</v>
      </c>
      <c r="C57" s="29">
        <f>SUMIFS(tbConsumo[Quantidade],tbConsumo[Material_ID],$A57,tbConsumo[Tipo_Movimentacao],"Consumo")</f>
        <v>11</v>
      </c>
      <c r="D57" s="30">
        <f>SUMIFS(tbConsumo[Custo_Movimentado],tbConsumo[Material_ID],$A57,tbConsumo[Tipo_Movimentacao],"Consumo")</f>
        <v>3135</v>
      </c>
      <c r="E57" s="31">
        <f>IF(D$67=0,0,D57/D$67)</f>
        <v>0.127406913704676</v>
      </c>
      <c r="F57" s="28" t="str">
        <f>IFERROR(INDEX(tbMateriais[Material],MATCH($A57,tbMateriais[Material_ID],0)),"Não encontrado")</f>
        <v>Cabo Flexível 2,5 mm² Rolo</v>
      </c>
      <c r="G57" s="28" t="str">
        <f>IFERROR(INDEX(tbMateriais[Categoria],MATCH($A57,tbMateriais[Material_ID],0)),"Não encontrado")</f>
        <v>Elétrica</v>
      </c>
      <c r="H57" s="28" t="str">
        <f>IFERROR(INDEX(tbMateriais[Criticidade],MATCH($A57,tbMateriais[Material_ID],0)),"Não encontrado")</f>
        <v>Média</v>
      </c>
      <c r="I57" s="28">
        <f>IFERROR(INDEX(tbEstoque[Estoque_Atual],MATCH($A57,tbEstoque[Material_ID],0)),"Sem estoque")</f>
        <v>8</v>
      </c>
      <c r="J57" s="28" t="str">
        <f>IFERROR(INDEX(tbEstoque[Status_Estoque],MATCH($A57,tbEstoque[Material_ID],0)),"Sem estoque")</f>
        <v>OK</v>
      </c>
    </row>
    <row r="58">
      <c r="A58" s="28" t="str">
        <f>Materiais!$A$13</f>
        <v>MAT012</v>
      </c>
      <c r="B58" s="29">
        <f>COUNTIFS(tbConsumo[Material_ID],$A58,tbConsumo[Tipo_Movimentacao],"Consumo")</f>
        <v>6</v>
      </c>
      <c r="C58" s="29">
        <f>SUMIFS(tbConsumo[Quantidade],tbConsumo[Material_ID],$A58,tbConsumo[Tipo_Movimentacao],"Consumo")</f>
        <v>11</v>
      </c>
      <c r="D58" s="30">
        <f>SUMIFS(tbConsumo[Custo_Movimentado],tbConsumo[Material_ID],$A58,tbConsumo[Tipo_Movimentacao],"Consumo")</f>
        <v>462</v>
      </c>
      <c r="E58" s="31">
        <f>IF(D$67=0,0,D58/D$67)</f>
        <v>0.018775755703847</v>
      </c>
      <c r="F58" s="28" t="str">
        <f>IFERROR(INDEX(tbMateriais[Material],MATCH($A58,tbMateriais[Material_ID],0)),"Não encontrado")</f>
        <v>Fita Isolante 19 mm</v>
      </c>
      <c r="G58" s="28" t="str">
        <f>IFERROR(INDEX(tbMateriais[Categoria],MATCH($A58,tbMateriais[Material_ID],0)),"Não encontrado")</f>
        <v>Elétrica</v>
      </c>
      <c r="H58" s="28" t="str">
        <f>IFERROR(INDEX(tbMateriais[Criticidade],MATCH($A58,tbMateriais[Material_ID],0)),"Não encontrado")</f>
        <v>Baixa</v>
      </c>
      <c r="I58" s="28">
        <f>IFERROR(INDEX(tbEstoque[Estoque_Atual],MATCH($A58,tbEstoque[Material_ID],0)),"Sem estoque")</f>
        <v>25</v>
      </c>
      <c r="J58" s="28" t="str">
        <f>IFERROR(INDEX(tbEstoque[Status_Estoque],MATCH($A58,tbEstoque[Material_ID],0)),"Sem estoque")</f>
        <v>OK</v>
      </c>
    </row>
    <row r="59">
      <c r="A59" s="28" t="str">
        <f>Materiais!$A$14</f>
        <v>MAT013</v>
      </c>
      <c r="B59" s="29">
        <f>COUNTIFS(tbConsumo[Material_ID],$A59,tbConsumo[Tipo_Movimentacao],"Consumo")</f>
        <v>9</v>
      </c>
      <c r="C59" s="29">
        <f>SUMIFS(tbConsumo[Quantidade],tbConsumo[Material_ID],$A59,tbConsumo[Tipo_Movimentacao],"Consumo")</f>
        <v>16</v>
      </c>
      <c r="D59" s="30">
        <f>SUMIFS(tbConsumo[Custo_Movimentado],tbConsumo[Material_ID],$A59,tbConsumo[Tipo_Movimentacao],"Consumo")</f>
        <v>448</v>
      </c>
      <c r="E59" s="31">
        <f>IF(D$67=0,0,D59/D$67)</f>
        <v>0.018206793409791</v>
      </c>
      <c r="F59" s="28" t="str">
        <f>IFERROR(INDEX(tbMateriais[Material],MATCH($A59,tbMateriais[Material_ID],0)),"Não encontrado")</f>
        <v>Terminal de Compressão 6 mm²</v>
      </c>
      <c r="G59" s="28" t="str">
        <f>IFERROR(INDEX(tbMateriais[Categoria],MATCH($A59,tbMateriais[Material_ID],0)),"Não encontrado")</f>
        <v>Elétrica</v>
      </c>
      <c r="H59" s="28" t="str">
        <f>IFERROR(INDEX(tbMateriais[Criticidade],MATCH($A59,tbMateriais[Material_ID],0)),"Não encontrado")</f>
        <v>Média</v>
      </c>
      <c r="I59" s="28">
        <f>IFERROR(INDEX(tbEstoque[Estoque_Atual],MATCH($A59,tbEstoque[Material_ID],0)),"Sem estoque")</f>
        <v>14</v>
      </c>
      <c r="J59" s="28" t="str">
        <f>IFERROR(INDEX(tbEstoque[Status_Estoque],MATCH($A59,tbEstoque[Material_ID],0)),"Sem estoque")</f>
        <v>ATENÇÃO</v>
      </c>
    </row>
    <row r="60">
      <c r="A60" s="28" t="str">
        <f>Materiais!$A$15</f>
        <v>MAT014</v>
      </c>
      <c r="B60" s="29">
        <f>COUNTIFS(tbConsumo[Material_ID],$A60,tbConsumo[Tipo_Movimentacao],"Consumo")</f>
        <v>4</v>
      </c>
      <c r="C60" s="29">
        <f>SUMIFS(tbConsumo[Quantidade],tbConsumo[Material_ID],$A60,tbConsumo[Tipo_Movimentacao],"Consumo")</f>
        <v>7</v>
      </c>
      <c r="D60" s="30">
        <f>SUMIFS(tbConsumo[Custo_Movimentado],tbConsumo[Material_ID],$A60,tbConsumo[Tipo_Movimentacao],"Consumo")</f>
        <v>826</v>
      </c>
      <c r="E60" s="31">
        <f>IF(D$67=0,0,D60/D$67)</f>
        <v>0.0335687753493022</v>
      </c>
      <c r="F60" s="28" t="str">
        <f>IFERROR(INDEX(tbMateriais[Material],MATCH($A60,tbMateriais[Material_ID],0)),"Não encontrado")</f>
        <v>Disjuntor Tripolar 32 A</v>
      </c>
      <c r="G60" s="28" t="str">
        <f>IFERROR(INDEX(tbMateriais[Categoria],MATCH($A60,tbMateriais[Material_ID],0)),"Não encontrado")</f>
        <v>Elétrica</v>
      </c>
      <c r="H60" s="28" t="str">
        <f>IFERROR(INDEX(tbMateriais[Criticidade],MATCH($A60,tbMateriais[Material_ID],0)),"Não encontrado")</f>
        <v>Alta</v>
      </c>
      <c r="I60" s="28">
        <f>IFERROR(INDEX(tbEstoque[Estoque_Atual],MATCH($A60,tbEstoque[Material_ID],0)),"Sem estoque")</f>
        <v>3</v>
      </c>
      <c r="J60" s="28" t="str">
        <f>IFERROR(INDEX(tbEstoque[Status_Estoque],MATCH($A60,tbEstoque[Material_ID],0)),"Sem estoque")</f>
        <v>REPOR</v>
      </c>
    </row>
    <row r="61">
      <c r="A61" s="28" t="str">
        <f>Materiais!$A$16</f>
        <v>MAT015</v>
      </c>
      <c r="B61" s="29">
        <f>COUNTIFS(tbConsumo[Material_ID],$A61,tbConsumo[Tipo_Movimentacao],"Consumo")</f>
        <v>18</v>
      </c>
      <c r="C61" s="29">
        <f>SUMIFS(tbConsumo[Quantidade],tbConsumo[Material_ID],$A61,tbConsumo[Tipo_Movimentacao],"Consumo")</f>
        <v>102</v>
      </c>
      <c r="D61" s="30">
        <f>SUMIFS(tbConsumo[Custo_Movimentado],tbConsumo[Material_ID],$A61,tbConsumo[Tipo_Movimentacao],"Consumo")</f>
        <v>1530</v>
      </c>
      <c r="E61" s="31">
        <f>IF(D$67=0,0,D61/D$67)</f>
        <v>0.0621794507075453</v>
      </c>
      <c r="F61" s="28" t="str">
        <f>IFERROR(INDEX(tbMateriais[Material],MATCH($A61,tbMateriais[Material_ID],0)),"Não encontrado")</f>
        <v>Luva de Raspa</v>
      </c>
      <c r="G61" s="28" t="str">
        <f>IFERROR(INDEX(tbMateriais[Categoria],MATCH($A61,tbMateriais[Material_ID],0)),"Não encontrado")</f>
        <v>EPI</v>
      </c>
      <c r="H61" s="28" t="str">
        <f>IFERROR(INDEX(tbMateriais[Criticidade],MATCH($A61,tbMateriais[Material_ID],0)),"Não encontrado")</f>
        <v>Média</v>
      </c>
      <c r="I61" s="28">
        <f>IFERROR(INDEX(tbEstoque[Estoque_Atual],MATCH($A61,tbEstoque[Material_ID],0)),"Sem estoque")</f>
        <v>22</v>
      </c>
      <c r="J61" s="28" t="str">
        <f>IFERROR(INDEX(tbEstoque[Status_Estoque],MATCH($A61,tbEstoque[Material_ID],0)),"Sem estoque")</f>
        <v>REPOR</v>
      </c>
    </row>
    <row r="62">
      <c r="A62" s="28" t="str">
        <f>Materiais!$A$17</f>
        <v>MAT016</v>
      </c>
      <c r="B62" s="29">
        <f>COUNTIFS(tbConsumo[Material_ID],$A62,tbConsumo[Tipo_Movimentacao],"Consumo")</f>
        <v>10</v>
      </c>
      <c r="C62" s="29">
        <f>SUMIFS(tbConsumo[Quantidade],tbConsumo[Material_ID],$A62,tbConsumo[Tipo_Movimentacao],"Consumo")</f>
        <v>55</v>
      </c>
      <c r="D62" s="30">
        <f>SUMIFS(tbConsumo[Custo_Movimentado],tbConsumo[Material_ID],$A62,tbConsumo[Tipo_Movimentacao],"Consumo")</f>
        <v>357.5</v>
      </c>
      <c r="E62" s="31">
        <f>IF(D$67=0,0,D62/D$67)</f>
        <v>0.0145288585803578</v>
      </c>
      <c r="F62" s="28" t="str">
        <f>IFERROR(INDEX(tbMateriais[Material],MATCH($A62,tbMateriais[Material_ID],0)),"Não encontrado")</f>
        <v>Óculos de Proteção Incolor</v>
      </c>
      <c r="G62" s="28" t="str">
        <f>IFERROR(INDEX(tbMateriais[Categoria],MATCH($A62,tbMateriais[Material_ID],0)),"Não encontrado")</f>
        <v>EPI</v>
      </c>
      <c r="H62" s="28" t="str">
        <f>IFERROR(INDEX(tbMateriais[Criticidade],MATCH($A62,tbMateriais[Material_ID],0)),"Não encontrado")</f>
        <v>Média</v>
      </c>
      <c r="I62" s="28">
        <f>IFERROR(INDEX(tbEstoque[Estoque_Atual],MATCH($A62,tbEstoque[Material_ID],0)),"Sem estoque")</f>
        <v>90</v>
      </c>
      <c r="J62" s="28" t="str">
        <f>IFERROR(INDEX(tbEstoque[Status_Estoque],MATCH($A62,tbEstoque[Material_ID],0)),"Sem estoque")</f>
        <v>OK</v>
      </c>
    </row>
    <row r="63">
      <c r="A63" s="28" t="str">
        <f>Materiais!$A$18</f>
        <v>MAT017</v>
      </c>
      <c r="B63" s="29">
        <f>COUNTIFS(tbConsumo[Material_ID],$A63,tbConsumo[Tipo_Movimentacao],"Consumo")</f>
        <v>6</v>
      </c>
      <c r="C63" s="29">
        <f>SUMIFS(tbConsumo[Quantidade],tbConsumo[Material_ID],$A63,tbConsumo[Tipo_Movimentacao],"Consumo")</f>
        <v>12</v>
      </c>
      <c r="D63" s="30">
        <f>SUMIFS(tbConsumo[Custo_Movimentado],tbConsumo[Material_ID],$A63,tbConsumo[Tipo_Movimentacao],"Consumo")</f>
        <v>864</v>
      </c>
      <c r="E63" s="31">
        <f>IF(D$67=0,0,D63/D$67)</f>
        <v>0.0351131015760256</v>
      </c>
      <c r="F63" s="28" t="str">
        <f>IFERROR(INDEX(tbMateriais[Material],MATCH($A63,tbMateriais[Material_ID],0)),"Não encontrado")</f>
        <v>Máscara Respiratória PFF2</v>
      </c>
      <c r="G63" s="28" t="str">
        <f>IFERROR(INDEX(tbMateriais[Categoria],MATCH($A63,tbMateriais[Material_ID],0)),"Não encontrado")</f>
        <v>EPI</v>
      </c>
      <c r="H63" s="28" t="str">
        <f>IFERROR(INDEX(tbMateriais[Criticidade],MATCH($A63,tbMateriais[Material_ID],0)),"Não encontrado")</f>
        <v>Alta</v>
      </c>
      <c r="I63" s="28">
        <f>IFERROR(INDEX(tbEstoque[Estoque_Atual],MATCH($A63,tbEstoque[Material_ID],0)),"Sem estoque")</f>
        <v>11</v>
      </c>
      <c r="J63" s="28" t="str">
        <f>IFERROR(INDEX(tbEstoque[Status_Estoque],MATCH($A63,tbEstoque[Material_ID],0)),"Sem estoque")</f>
        <v>ATENÇÃO</v>
      </c>
    </row>
    <row r="64">
      <c r="A64" s="28" t="str">
        <f>Materiais!$A$19</f>
        <v>MAT018</v>
      </c>
      <c r="B64" s="29">
        <f>COUNTIFS(tbConsumo[Material_ID],$A64,tbConsumo[Tipo_Movimentacao],"Consumo")</f>
        <v>3</v>
      </c>
      <c r="C64" s="29">
        <f>SUMIFS(tbConsumo[Quantidade],tbConsumo[Material_ID],$A64,tbConsumo[Tipo_Movimentacao],"Consumo")</f>
        <v>5</v>
      </c>
      <c r="D64" s="30">
        <f>SUMIFS(tbConsumo[Custo_Movimentado],tbConsumo[Material_ID],$A64,tbConsumo[Tipo_Movimentacao],"Consumo")</f>
        <v>120</v>
      </c>
      <c r="E64" s="31">
        <f>IF(D$67=0,0,D64/D$67)</f>
        <v>0.00487681966333688</v>
      </c>
      <c r="F64" s="28" t="str">
        <f>IFERROR(INDEX(tbMateriais[Material],MATCH($A64,tbMateriais[Material_ID],0)),"Não encontrado")</f>
        <v>Chave Combinada 17 mm</v>
      </c>
      <c r="G64" s="28" t="str">
        <f>IFERROR(INDEX(tbMateriais[Categoria],MATCH($A64,tbMateriais[Material_ID],0)),"Não encontrado")</f>
        <v>Ferramentas</v>
      </c>
      <c r="H64" s="28" t="str">
        <f>IFERROR(INDEX(tbMateriais[Criticidade],MATCH($A64,tbMateriais[Material_ID],0)),"Não encontrado")</f>
        <v>Baixa</v>
      </c>
      <c r="I64" s="28">
        <f>IFERROR(INDEX(tbEstoque[Estoque_Atual],MATCH($A64,tbEstoque[Material_ID],0)),"Sem estoque")</f>
        <v>12</v>
      </c>
      <c r="J64" s="28" t="str">
        <f>IFERROR(INDEX(tbEstoque[Status_Estoque],MATCH($A64,tbEstoque[Material_ID],0)),"Sem estoque")</f>
        <v>OK</v>
      </c>
    </row>
    <row r="65">
      <c r="A65" s="28" t="str">
        <f>Materiais!$A$20</f>
        <v>MAT019</v>
      </c>
      <c r="B65" s="29">
        <f>COUNTIFS(tbConsumo[Material_ID],$A65,tbConsumo[Tipo_Movimentacao],"Consumo")</f>
        <v>1</v>
      </c>
      <c r="C65" s="29">
        <f>SUMIFS(tbConsumo[Quantidade],tbConsumo[Material_ID],$A65,tbConsumo[Tipo_Movimentacao],"Consumo")</f>
        <v>1</v>
      </c>
      <c r="D65" s="30">
        <f>SUMIFS(tbConsumo[Custo_Movimentado],tbConsumo[Material_ID],$A65,tbConsumo[Tipo_Movimentacao],"Consumo")</f>
        <v>19</v>
      </c>
      <c r="E65" s="31">
        <f>IF(D$67=0,0,D65/D$67)</f>
        <v>0.000772163113361673</v>
      </c>
      <c r="F65" s="28" t="str">
        <f>IFERROR(INDEX(tbMateriais[Material],MATCH($A65,tbMateriais[Material_ID],0)),"Não encontrado")</f>
        <v>Trena de Aço 5 m</v>
      </c>
      <c r="G65" s="28" t="str">
        <f>IFERROR(INDEX(tbMateriais[Categoria],MATCH($A65,tbMateriais[Material_ID],0)),"Não encontrado")</f>
        <v>Ferramentas</v>
      </c>
      <c r="H65" s="28" t="str">
        <f>IFERROR(INDEX(tbMateriais[Criticidade],MATCH($A65,tbMateriais[Material_ID],0)),"Não encontrado")</f>
        <v>Baixa</v>
      </c>
      <c r="I65" s="28">
        <f>IFERROR(INDEX(tbEstoque[Estoque_Atual],MATCH($A65,tbEstoque[Material_ID],0)),"Sem estoque")</f>
        <v>9</v>
      </c>
      <c r="J65" s="28" t="str">
        <f>IFERROR(INDEX(tbEstoque[Status_Estoque],MATCH($A65,tbEstoque[Material_ID],0)),"Sem estoque")</f>
        <v>OK</v>
      </c>
    </row>
    <row r="66">
      <c r="A66" s="28" t="str">
        <f>Materiais!$A$21</f>
        <v>MAT020</v>
      </c>
      <c r="B66" s="29">
        <f>COUNTIFS(tbConsumo[Material_ID],$A66,tbConsumo[Tipo_Movimentacao],"Consumo")</f>
        <v>5</v>
      </c>
      <c r="C66" s="29">
        <f>SUMIFS(tbConsumo[Quantidade],tbConsumo[Material_ID],$A66,tbConsumo[Tipo_Movimentacao],"Consumo")</f>
        <v>11</v>
      </c>
      <c r="D66" s="30">
        <f>SUMIFS(tbConsumo[Custo_Movimentado],tbConsumo[Material_ID],$A66,tbConsumo[Tipo_Movimentacao],"Consumo")</f>
        <v>231</v>
      </c>
      <c r="E66" s="31">
        <f>IF(D$67=0,0,D66/D$67)</f>
        <v>0.0093878778519235</v>
      </c>
      <c r="F66" s="28" t="str">
        <f>IFERROR(INDEX(tbMateriais[Material],MATCH($A66,tbMateriais[Material_ID],0)),"Não encontrado")</f>
        <v>Broca de Aço Rápido 10 mm</v>
      </c>
      <c r="G66" s="28" t="str">
        <f>IFERROR(INDEX(tbMateriais[Categoria],MATCH($A66,tbMateriais[Material_ID],0)),"Não encontrado")</f>
        <v>Ferramentas</v>
      </c>
      <c r="H66" s="28" t="str">
        <f>IFERROR(INDEX(tbMateriais[Criticidade],MATCH($A66,tbMateriais[Material_ID],0)),"Não encontrado")</f>
        <v>Média</v>
      </c>
      <c r="I66" s="28">
        <f>IFERROR(INDEX(tbEstoque[Estoque_Atual],MATCH($A66,tbEstoque[Material_ID],0)),"Sem estoque")</f>
        <v>26</v>
      </c>
      <c r="J66" s="28" t="str">
        <f>IFERROR(INDEX(tbEstoque[Status_Estoque],MATCH($A66,tbEstoque[Material_ID],0)),"Sem estoque")</f>
        <v>OK</v>
      </c>
    </row>
    <row r="67">
      <c r="A67" s="32" t="inlineStr">
        <is>
          <t>Total</t>
        </is>
      </c>
      <c r="B67" s="33">
        <f>SUM(B47:B66)</f>
        <v>180</v>
      </c>
      <c r="C67" s="33">
        <f>SUM(C47:C66)</f>
        <v>1647</v>
      </c>
      <c r="D67" s="34">
        <f>SUM(D47:D66)</f>
        <v>24606.2</v>
      </c>
      <c r="E67" s="35">
        <f>SUM(E47:E66)</f>
        <v>1</v>
      </c>
    </row>
    <row r="70">
      <c r="A70" s="17" t="inlineStr">
        <is>
          <t>6. Conferências internas (cada resumo deve fechar com o KPI)</t>
        </is>
      </c>
    </row>
    <row r="71">
      <c r="A71" s="18" t="inlineStr">
        <is>
          <t>Conferência</t>
        </is>
      </c>
      <c r="B71" s="18" t="inlineStr">
        <is>
          <t>Total do resumo</t>
        </is>
      </c>
      <c r="C71" s="18" t="inlineStr">
        <is>
          <t>KPI</t>
        </is>
      </c>
      <c r="D71" s="18" t="inlineStr">
        <is>
          <t>Diferença</t>
        </is>
      </c>
      <c r="E71" s="18" t="inlineStr">
        <is>
          <t>Status</t>
        </is>
      </c>
    </row>
    <row r="72">
      <c r="A72" s="28" t="inlineStr">
        <is>
          <t>Soma por mês = Movimentações</t>
        </is>
      </c>
      <c r="B72" s="30">
        <f>B24</f>
        <v>180</v>
      </c>
      <c r="C72" s="30">
        <f>$B$8</f>
        <v>180</v>
      </c>
      <c r="D72" s="30">
        <f>B72-C72</f>
        <v>0</v>
      </c>
      <c r="E72" s="28" t="str">
        <f>IF(ABS(D72)&lt;0.005,"OK","DIVERGE")</f>
        <v>OK</v>
      </c>
    </row>
    <row r="73">
      <c r="A73" s="28" t="inlineStr">
        <is>
          <t>Soma por mês = Unidades</t>
        </is>
      </c>
      <c r="B73" s="30">
        <f>C24</f>
        <v>1647</v>
      </c>
      <c r="C73" s="30">
        <f>$B$6</f>
        <v>1647</v>
      </c>
      <c r="D73" s="30">
        <f>B73-C73</f>
        <v>0</v>
      </c>
      <c r="E73" s="28" t="str">
        <f>IF(ABS(D73)&lt;0.005,"OK","DIVERGE")</f>
        <v>OK</v>
      </c>
    </row>
    <row r="74">
      <c r="A74" s="28" t="inlineStr">
        <is>
          <t>Soma por mês = Custo estimado</t>
        </is>
      </c>
      <c r="B74" s="30">
        <f>D24</f>
        <v>24606.2</v>
      </c>
      <c r="C74" s="30">
        <f>$B$7</f>
        <v>24606.2</v>
      </c>
      <c r="D74" s="30">
        <f>B74-C74</f>
        <v>0</v>
      </c>
      <c r="E74" s="28" t="str">
        <f>IF(ABS(D74)&lt;0.005,"OK","DIVERGE")</f>
        <v>OK</v>
      </c>
    </row>
    <row r="75">
      <c r="A75" s="28" t="inlineStr">
        <is>
          <t>Soma por categoria = Movimentações</t>
        </is>
      </c>
      <c r="B75" s="30">
        <f>B34</f>
        <v>180</v>
      </c>
      <c r="C75" s="30">
        <f>$B$8</f>
        <v>180</v>
      </c>
      <c r="D75" s="30">
        <f>B75-C75</f>
        <v>0</v>
      </c>
      <c r="E75" s="28" t="str">
        <f>IF(ABS(D75)&lt;0.005,"OK","DIVERGE")</f>
        <v>OK</v>
      </c>
    </row>
    <row r="76">
      <c r="A76" s="28" t="inlineStr">
        <is>
          <t>Soma por categoria = Unidades</t>
        </is>
      </c>
      <c r="B76" s="30">
        <f>C34</f>
        <v>1647</v>
      </c>
      <c r="C76" s="30">
        <f>$B$6</f>
        <v>1647</v>
      </c>
      <c r="D76" s="30">
        <f>B76-C76</f>
        <v>0</v>
      </c>
      <c r="E76" s="28" t="str">
        <f>IF(ABS(D76)&lt;0.005,"OK","DIVERGE")</f>
        <v>OK</v>
      </c>
    </row>
    <row r="77">
      <c r="A77" s="28" t="inlineStr">
        <is>
          <t>Soma por categoria = Custo estimado</t>
        </is>
      </c>
      <c r="B77" s="30">
        <f>D34</f>
        <v>24606.2</v>
      </c>
      <c r="C77" s="30">
        <f>$B$7</f>
        <v>24606.2</v>
      </c>
      <c r="D77" s="30">
        <f>B77-C77</f>
        <v>0</v>
      </c>
      <c r="E77" s="28" t="str">
        <f>IF(ABS(D77)&lt;0.005,"OK","DIVERGE")</f>
        <v>OK</v>
      </c>
    </row>
    <row r="78">
      <c r="A78" s="28" t="inlineStr">
        <is>
          <t>Soma por centro = Movimentações</t>
        </is>
      </c>
      <c r="B78" s="30">
        <f>B43</f>
        <v>180</v>
      </c>
      <c r="C78" s="30">
        <f>$B$8</f>
        <v>180</v>
      </c>
      <c r="D78" s="30">
        <f>B78-C78</f>
        <v>0</v>
      </c>
      <c r="E78" s="28" t="str">
        <f>IF(ABS(D78)&lt;0.005,"OK","DIVERGE")</f>
        <v>OK</v>
      </c>
    </row>
    <row r="79">
      <c r="A79" s="28" t="inlineStr">
        <is>
          <t>Soma por centro = Unidades</t>
        </is>
      </c>
      <c r="B79" s="30">
        <f>C43</f>
        <v>1647</v>
      </c>
      <c r="C79" s="30">
        <f>$B$6</f>
        <v>1647</v>
      </c>
      <c r="D79" s="30">
        <f>B79-C79</f>
        <v>0</v>
      </c>
      <c r="E79" s="28" t="str">
        <f>IF(ABS(D79)&lt;0.005,"OK","DIVERGE")</f>
        <v>OK</v>
      </c>
    </row>
    <row r="80">
      <c r="A80" s="28" t="inlineStr">
        <is>
          <t>Soma por centro = Custo estimado</t>
        </is>
      </c>
      <c r="B80" s="30">
        <f>D43</f>
        <v>24606.2</v>
      </c>
      <c r="C80" s="30">
        <f>$B$7</f>
        <v>24606.2</v>
      </c>
      <c r="D80" s="30">
        <f>B80-C80</f>
        <v>0</v>
      </c>
      <c r="E80" s="28" t="str">
        <f>IF(ABS(D80)&lt;0.005,"OK","DIVERGE")</f>
        <v>OK</v>
      </c>
    </row>
    <row r="81">
      <c r="A81" s="28" t="inlineStr">
        <is>
          <t>Soma por material = Movimentações</t>
        </is>
      </c>
      <c r="B81" s="30">
        <f>B67</f>
        <v>180</v>
      </c>
      <c r="C81" s="30">
        <f>$B$8</f>
        <v>180</v>
      </c>
      <c r="D81" s="30">
        <f>B81-C81</f>
        <v>0</v>
      </c>
      <c r="E81" s="28" t="str">
        <f>IF(ABS(D81)&lt;0.005,"OK","DIVERGE")</f>
        <v>OK</v>
      </c>
    </row>
    <row r="82">
      <c r="A82" s="28" t="inlineStr">
        <is>
          <t>Soma por material = Unidades</t>
        </is>
      </c>
      <c r="B82" s="30">
        <f>C67</f>
        <v>1647</v>
      </c>
      <c r="C82" s="30">
        <f>$B$6</f>
        <v>1647</v>
      </c>
      <c r="D82" s="30">
        <f>B82-C82</f>
        <v>0</v>
      </c>
      <c r="E82" s="28" t="str">
        <f>IF(ABS(D82)&lt;0.005,"OK","DIVERGE")</f>
        <v>OK</v>
      </c>
    </row>
    <row r="83">
      <c r="A83" s="28" t="inlineStr">
        <is>
          <t>Soma por material = Custo estimado</t>
        </is>
      </c>
      <c r="B83" s="30">
        <f>D67</f>
        <v>24606.2</v>
      </c>
      <c r="C83" s="30">
        <f>$B$7</f>
        <v>24606.2</v>
      </c>
      <c r="D83" s="30">
        <f>B83-C83</f>
        <v>0</v>
      </c>
      <c r="E83" s="28" t="str">
        <f>IF(ABS(D83)&lt;0.005,"OK","DIVERGE")</f>
        <v>OK</v>
      </c>
    </row>
  </sheetData>
  <mergeCells count="16">
    <mergeCell ref="G6:J6"/>
    <mergeCell ref="C9:F9"/>
    <mergeCell ref="G11:J11"/>
    <mergeCell ref="G9:J9"/>
    <mergeCell ref="C8:F8"/>
    <mergeCell ref="G8:J8"/>
    <mergeCell ref="C6:F6"/>
    <mergeCell ref="C7:F7"/>
    <mergeCell ref="G7:J7"/>
    <mergeCell ref="C14:J14"/>
    <mergeCell ref="C11:F11"/>
    <mergeCell ref="C13:J13"/>
    <mergeCell ref="C10:F10"/>
    <mergeCell ref="C5:F5"/>
    <mergeCell ref="G5:J5"/>
    <mergeCell ref="G10:J10"/>
  </mergeCells>
  <conditionalFormatting sqref="J47:J66">
    <cfRule type="cellIs" priority="1" operator="equal" dxfId="4">
      <formula>"REPOR"</formula>
    </cfRule>
    <cfRule type="cellIs" priority="2" operator="equal" dxfId="5">
      <formula>"ATENÇÃO"</formula>
    </cfRule>
  </conditionalFormatting>
  <conditionalFormatting sqref="H47:H66">
    <cfRule type="cellIs" priority="3" operator="equal" dxfId="0">
      <formula>"Alta"</formula>
    </cfRule>
  </conditionalFormatting>
  <conditionalFormatting sqref="E72:E83">
    <cfRule type="cellIs" priority="4" operator="equal" dxfId="3">
      <formula>"OK"</formula>
    </cfRule>
    <cfRule type="cellIs" priority="5" operator="equal" dxfId="4">
      <formula>"DIVERGE"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4" customWidth="1" min="4" max="4"/>
    <col width="24" customWidth="1" min="5" max="5"/>
    <col width="28" customWidth="1" min="6" max="6"/>
  </cols>
  <sheetData>
    <row r="1">
      <c r="A1" s="1" t="inlineStr">
        <is>
          <t>Parâmetros e listas de valores válidos</t>
        </is>
      </c>
    </row>
    <row r="2">
      <c r="A2" s="14" t="inlineStr">
        <is>
          <t>Dados 100% sintéticos utilizados exclusivamente para estudo e portfólio.</t>
        </is>
      </c>
    </row>
    <row r="4">
      <c r="A4" s="18" t="inlineStr">
        <is>
          <t>Parâmetro</t>
        </is>
      </c>
      <c r="B4" s="18" t="inlineStr">
        <is>
          <t>Valor</t>
        </is>
      </c>
      <c r="C4" s="18" t="inlineStr">
        <is>
          <t>Descrição</t>
        </is>
      </c>
    </row>
    <row r="5">
      <c r="A5" s="15" t="inlineStr">
        <is>
          <t>Margem_ATENCAO</t>
        </is>
      </c>
      <c r="B5" s="37" t="n">
        <v>0.25</v>
      </c>
      <c r="C5" s="14" t="inlineStr">
        <is>
          <t>ATENÇÃO quando Estoque_Atual &gt; Mínimo e &lt;= Mínimo x (1 + margem). Nome definido: pMargemAtencao. Valor de estudo (entrada do autor).</t>
        </is>
      </c>
    </row>
    <row r="6">
      <c r="A6" s="15" t="inlineStr">
        <is>
          <t>Inicio_Periodo</t>
        </is>
      </c>
      <c r="B6" s="38" t="n">
        <v>46174</v>
      </c>
      <c r="C6" s="14" t="inlineStr">
        <is>
          <t>Primeiro dia do período de consumo (3 meses consecutivos, conforme o PDF). Nome: pInicioPeriodo.</t>
        </is>
      </c>
    </row>
    <row r="7">
      <c r="A7" s="15" t="inlineStr">
        <is>
          <t>Fim_Periodo</t>
        </is>
      </c>
      <c r="B7" s="38" t="n">
        <v>46265</v>
      </c>
      <c r="C7" s="14" t="inlineStr">
        <is>
          <t>Último dia do período. Nome: pFimPeriodo.</t>
        </is>
      </c>
    </row>
    <row r="10">
      <c r="A10" s="18" t="inlineStr">
        <is>
          <t>Categorias</t>
        </is>
      </c>
      <c r="B10" s="18" t="inlineStr">
        <is>
          <t>Unidades</t>
        </is>
      </c>
      <c r="C10" s="18" t="inlineStr">
        <is>
          <t>Criticidade</t>
        </is>
      </c>
      <c r="D10" s="18" t="inlineStr">
        <is>
          <t>Centros de trabalho</t>
        </is>
      </c>
      <c r="E10" s="18" t="inlineStr">
        <is>
          <t>Tipos de movimentação</t>
        </is>
      </c>
      <c r="F10" s="18" t="inlineStr">
        <is>
          <t>Meses do período (fórmula)</t>
        </is>
      </c>
    </row>
    <row r="11">
      <c r="A11" s="8" t="inlineStr">
        <is>
          <t>Abrasivos</t>
        </is>
      </c>
      <c r="B11" s="8" t="inlineStr">
        <is>
          <t>UN</t>
        </is>
      </c>
      <c r="C11" s="8" t="inlineStr">
        <is>
          <t>Baixa</t>
        </is>
      </c>
      <c r="D11" s="8" t="inlineStr">
        <is>
          <t>MANUTENCAO</t>
        </is>
      </c>
      <c r="E11" s="8" t="inlineStr">
        <is>
          <t>Consumo</t>
        </is>
      </c>
      <c r="F11" s="8" t="str">
        <f>YEAR(EDATE(pInicioPeriodo,0))&amp;"-"&amp;TEXT(MONTH(EDATE(pInicioPeriodo,0)),"00")</f>
        <v>2026-06</v>
      </c>
    </row>
    <row r="12">
      <c r="A12" s="8" t="inlineStr">
        <is>
          <t>Soldagem</t>
        </is>
      </c>
      <c r="B12" s="8" t="inlineStr">
        <is>
          <t>CX</t>
        </is>
      </c>
      <c r="C12" s="8" t="inlineStr">
        <is>
          <t>Média</t>
        </is>
      </c>
      <c r="D12" s="8" t="inlineStr">
        <is>
          <t>SOLDAGEM</t>
        </is>
      </c>
      <c r="E12" s="8" t="inlineStr">
        <is>
          <t>Ajuste</t>
        </is>
      </c>
      <c r="F12" s="8" t="str">
        <f>YEAR(EDATE(pInicioPeriodo,1))&amp;"-"&amp;TEXT(MONTH(EDATE(pInicioPeriodo,1)),"00")</f>
        <v>2026-07</v>
      </c>
    </row>
    <row r="13">
      <c r="A13" s="8" t="inlineStr">
        <is>
          <t>Corte</t>
        </is>
      </c>
      <c r="B13" s="8" t="inlineStr">
        <is>
          <t>PCT</t>
        </is>
      </c>
      <c r="C13" s="8" t="inlineStr">
        <is>
          <t>Alta</t>
        </is>
      </c>
      <c r="D13" s="8" t="inlineStr">
        <is>
          <t>FABRICACAO</t>
        </is>
      </c>
      <c r="F13" s="8" t="str">
        <f>YEAR(EDATE(pInicioPeriodo,2))&amp;"-"&amp;TEXT(MONTH(EDATE(pInicioPeriodo,2)),"00")</f>
        <v>2026-08</v>
      </c>
    </row>
    <row r="14">
      <c r="A14" s="8" t="inlineStr">
        <is>
          <t>Elétrica</t>
        </is>
      </c>
      <c r="B14" s="8" t="inlineStr">
        <is>
          <t>PAR</t>
        </is>
      </c>
      <c r="D14" s="8" t="inlineStr">
        <is>
          <t>MECANICA</t>
        </is>
      </c>
    </row>
    <row r="15">
      <c r="A15" s="8" t="inlineStr">
        <is>
          <t>EPI</t>
        </is>
      </c>
      <c r="D15" s="8" t="inlineStr">
        <is>
          <t>ELETRICA</t>
        </is>
      </c>
    </row>
    <row r="16">
      <c r="A16" s="8" t="inlineStr">
        <is>
          <t>Ferramentas</t>
        </is>
      </c>
    </row>
    <row r="18">
      <c r="A18" s="14" t="inlineStr">
        <is>
          <t>Os valores acima são as listas oficiais usadas pela validação de dados e pelas verificações da aba Qualidade. Alterar uma lista muda o que é considerado válido.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Lobo Insights Industrial (dados sintéticos)</dc:creator>
  <dc:title xmlns:dc="http://purl.org/dc/elements/1.1/">Lobo Insights Industrial V0.1</dc:title>
  <dcterms:created xmlns:dcterms="http://purl.org/dc/terms/" xmlns:xsi="http://www.w3.org/2001/XMLSchema-instance" xsi:type="dcterms:W3CDTF">2026-09-20T21:51:14Z</dcterms:created>
  <dcterms:modified xmlns:dcterms="http://purl.org/dc/terms/" xmlns:xsi="http://www.w3.org/2001/XMLSchema-instance" xsi:type="dcterms:W3CDTF">2026-09-20T21:51:14Z</dcterms:modified>
</cp:coreProperties>
</file>