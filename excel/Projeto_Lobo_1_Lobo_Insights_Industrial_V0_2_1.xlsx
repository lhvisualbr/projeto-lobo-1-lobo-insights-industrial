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IA_ME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Analises" sheetId="4" state="visible" r:id="rId4"/>
    <sheet xmlns:r="http://schemas.openxmlformats.org/officeDocument/2006/relationships" name="Materiais" sheetId="5" state="visible" r:id="rId5"/>
    <sheet xmlns:r="http://schemas.openxmlformats.org/officeDocument/2006/relationships" name="Estoque" sheetId="6" state="visible" r:id="rId6"/>
    <sheet xmlns:r="http://schemas.openxmlformats.org/officeDocument/2006/relationships" name="Consumo" sheetId="7" state="visible" r:id="rId7"/>
    <sheet xmlns:r="http://schemas.openxmlformats.org/officeDocument/2006/relationships" name="Qualidade" sheetId="8" state="visible" r:id="rId8"/>
    <sheet xmlns:r="http://schemas.openxmlformats.org/officeDocument/2006/relationships" name="Parametros" sheetId="9" state="visible" r:id="rId9"/>
  </sheets>
  <definedNames>
    <definedName name="lstCategorias">Parametros!$A$11:$A$16</definedName>
    <definedName name="lstUnidades">Parametros!$B$11:$B$14</definedName>
    <definedName name="lstCriticidade">Parametros!$C$11:$C$13</definedName>
    <definedName name="lstCentros">Parametros!$D$11:$D$15</definedName>
    <definedName name="lstTipoMov">Parametros!$E$11:$E$12</definedName>
    <definedName name="lstMeses">Parametros!$F$11:$F$13</definedName>
    <definedName name="pMargemAtencao">Parametros!$B$5</definedName>
    <definedName name="pInicioPeriodo">Parametros!$B$6</definedName>
    <definedName name="pFimPeriodo">Parametros!$B$7</definedName>
    <definedName name="pLimitePareto">Parametros!$B$22</definedName>
    <definedName name="pTopA">Parametros!$B$23</definedName>
    <definedName name="pTopB">Parametros!$B$24</definedName>
    <definedName name="_xlnm.Print_Area" localSheetId="0">'DASHBOARD'!$A$1:$N$98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+0.0%;-0.0%;0.0%"/>
    <numFmt numFmtId="167" formatCode="+#,##0;-#,##0;0"/>
    <numFmt numFmtId="168" formatCode="0.0000"/>
  </numFmts>
  <fonts count="28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9C0006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37474F"/>
      <sz val="10"/>
    </font>
    <font>
      <name val="Arial"/>
      <b val="1"/>
      <color rgb="00FFFFFF"/>
      <sz val="20"/>
    </font>
    <font>
      <name val="Arial"/>
      <color rgb="00C9D6E2"/>
      <sz val="11"/>
    </font>
    <font>
      <name val="Arial"/>
      <i val="1"/>
      <color rgb="00C9D6E2"/>
      <sz val="8"/>
    </font>
    <font>
      <name val="Arial"/>
      <color rgb="001F5FA8"/>
      <sz val="9"/>
      <u val="single"/>
    </font>
    <font>
      <name val="Arial"/>
      <b val="1"/>
      <color rgb="005B6B7A"/>
      <sz val="8.5"/>
    </font>
    <font>
      <name val="Arial"/>
      <b val="1"/>
      <color rgb="001F3A5F"/>
      <sz val="24"/>
    </font>
    <font>
      <name val="Arial"/>
      <color rgb="005B6B7A"/>
      <sz val="8"/>
    </font>
    <font>
      <name val="Arial"/>
      <i val="1"/>
      <color rgb="005B6B7A"/>
      <sz val="8"/>
    </font>
    <font>
      <name val="Arial"/>
      <color rgb="005B6B7A"/>
      <sz val="8.5"/>
    </font>
    <font>
      <name val="Arial"/>
      <b val="1"/>
      <color rgb="005B6B7A"/>
      <sz val="8"/>
    </font>
    <font>
      <name val="Arial"/>
      <b val="1"/>
      <color rgb="001F3A5F"/>
      <sz val="16"/>
    </font>
    <font>
      <name val="Arial"/>
      <color rgb="005B6B7A"/>
      <sz val="7.5"/>
    </font>
    <font>
      <name val="Arial"/>
      <b val="1"/>
      <color rgb="0037474F"/>
      <sz val="8.5"/>
    </font>
    <font>
      <name val="Arial"/>
      <color rgb="00222222"/>
      <sz val="9"/>
    </font>
    <font>
      <name val="Arial"/>
      <b val="1"/>
      <color rgb="00222222"/>
      <sz val="9"/>
    </font>
    <font>
      <name val="Arial"/>
      <i val="1"/>
      <color rgb="008E1B1B"/>
      <sz val="8"/>
    </font>
  </fonts>
  <fills count="13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2E7D5B"/>
      </patternFill>
    </fill>
    <fill>
      <patternFill patternType="solid">
        <fgColor rgb="00F2F2F2"/>
      </patternFill>
    </fill>
    <fill>
      <patternFill patternType="solid">
        <fgColor rgb="001F3A5F"/>
        <bgColor rgb="001F3A5F"/>
      </patternFill>
    </fill>
    <fill>
      <patternFill patternType="solid">
        <fgColor rgb="00FFFF00"/>
        <bgColor rgb="00FFFF00"/>
      </patternFill>
    </fill>
    <fill>
      <patternFill patternType="solid">
        <fgColor rgb="00F3F5F8"/>
        <bgColor rgb="00F3F5F8"/>
      </patternFill>
    </fill>
    <fill>
      <patternFill patternType="solid">
        <fgColor rgb="00C9772B"/>
        <bgColor rgb="00C9772B"/>
      </patternFill>
    </fill>
    <fill>
      <patternFill patternType="solid">
        <fgColor rgb="0012263F"/>
        <bgColor rgb="0012263F"/>
      </patternFill>
    </fill>
    <fill>
      <patternFill patternType="solid">
        <fgColor rgb="00E4EAF0"/>
        <bgColor rgb="00E4EAF0"/>
      </patternFill>
    </fill>
    <fill>
      <patternFill patternType="solid">
        <fgColor rgb="00FFFFFF"/>
        <bgColor rgb="00FFFFFF"/>
      </patternFill>
    </fill>
  </fills>
  <borders count="3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ck">
        <color rgb="00F3F5F8"/>
      </left>
      <right/>
      <top/>
      <bottom/>
    </border>
    <border>
      <left/>
      <right style="thick">
        <color rgb="00F3F5F8"/>
      </right>
      <top/>
      <bottom/>
    </border>
    <border>
      <left style="thick">
        <color rgb="00F3F5F8"/>
      </left>
      <right/>
      <top style="thick">
        <color rgb="002F6690"/>
      </top>
      <bottom/>
    </border>
    <border>
      <left/>
      <right style="thick">
        <color rgb="00F3F5F8"/>
      </right>
      <top style="thick">
        <color rgb="002F6690"/>
      </top>
      <bottom/>
    </border>
    <border>
      <left style="thick">
        <color rgb="00F3F5F8"/>
      </left>
      <right/>
      <top style="thick">
        <color rgb="00C9772B"/>
      </top>
      <bottom/>
    </border>
    <border>
      <left/>
      <right style="thick">
        <color rgb="00F3F5F8"/>
      </right>
      <top style="thick">
        <color rgb="00C9772B"/>
      </top>
      <bottom/>
    </border>
    <border>
      <left style="thick">
        <color rgb="00F3F5F8"/>
      </left>
      <right/>
      <top style="thick">
        <color rgb="005B6B7A"/>
      </top>
      <bottom/>
    </border>
    <border>
      <left/>
      <right style="thick">
        <color rgb="00F3F5F8"/>
      </right>
      <top style="thick">
        <color rgb="005B6B7A"/>
      </top>
      <bottom/>
    </border>
    <border>
      <left style="thick">
        <color rgb="00F3F5F8"/>
      </left>
      <right/>
      <top style="thick">
        <color rgb="00B03A2E"/>
      </top>
      <bottom/>
    </border>
    <border>
      <left/>
      <right style="thick">
        <color rgb="00F3F5F8"/>
      </right>
      <top style="thick">
        <color rgb="00B03A2E"/>
      </top>
      <bottom/>
    </border>
    <border>
      <left style="thick">
        <color rgb="00F3F5F8"/>
      </left>
      <right/>
      <top style="thick">
        <color rgb="008E1B1B"/>
      </top>
      <bottom/>
    </border>
    <border>
      <left/>
      <right style="thick">
        <color rgb="00F3F5F8"/>
      </right>
      <top style="thick">
        <color rgb="008E1B1B"/>
      </top>
      <bottom/>
    </border>
    <border>
      <bottom style="medium">
        <color rgb="001F3A5F"/>
      </bottom>
    </border>
    <border>
      <left style="thin">
        <color rgb="00D5DBE1"/>
      </left>
      <right/>
      <top style="thin">
        <color rgb="00D5DBE1"/>
      </top>
      <bottom/>
    </border>
    <border>
      <left/>
      <right/>
      <top style="thin">
        <color rgb="00D5DBE1"/>
      </top>
      <bottom/>
    </border>
    <border>
      <left/>
      <right style="thin">
        <color rgb="00D5DBE1"/>
      </right>
      <top style="thin">
        <color rgb="00D5DBE1"/>
      </top>
      <bottom/>
    </border>
    <border>
      <left style="thin">
        <color rgb="00D5DBE1"/>
      </left>
      <right/>
      <top/>
      <bottom/>
    </border>
    <border>
      <left/>
      <right/>
      <top/>
      <bottom/>
    </border>
    <border>
      <left/>
      <right style="thin">
        <color rgb="00D5DBE1"/>
      </right>
      <top/>
      <bottom/>
    </border>
    <border>
      <left style="thin">
        <color rgb="00D5DBE1"/>
      </left>
      <right/>
      <top/>
      <bottom style="thin">
        <color rgb="00D5DBE1"/>
      </bottom>
    </border>
    <border>
      <left/>
      <right/>
      <top/>
      <bottom style="thin">
        <color rgb="00D5DBE1"/>
      </bottom>
    </border>
    <border>
      <left/>
      <right style="thin">
        <color rgb="00D5DBE1"/>
      </right>
      <top/>
      <bottom style="thin">
        <color rgb="00D5DBE1"/>
      </bottom>
    </border>
    <border>
      <bottom style="thin">
        <color rgb="00ECEFF2"/>
      </bottom>
    </border>
    <border>
      <left style="thin">
        <color rgb="00D5DBE1"/>
      </left>
      <bottom style="thin">
        <color rgb="00ECEFF2"/>
      </bottom>
    </border>
    <border>
      <right style="thin">
        <color rgb="00D5DBE1"/>
      </right>
      <bottom style="thin">
        <color rgb="00ECEFF2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6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4" fontId="6" fillId="0" borderId="0" pivotButton="0" quotePrefix="0" xfId="0"/>
    <xf numFmtId="164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/>
    </xf>
    <xf numFmtId="3" fontId="7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" fontId="7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1" pivotButton="0" quotePrefix="0" xfId="0"/>
    <xf numFmtId="3" fontId="6" fillId="0" borderId="1" pivotButton="0" quotePrefix="0" xfId="0"/>
    <xf numFmtId="4" fontId="6" fillId="0" borderId="1" pivotButton="0" quotePrefix="0" xfId="0"/>
    <xf numFmtId="165" fontId="6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4" fontId="4" fillId="5" borderId="1" pivotButton="0" quotePrefix="0" xfId="0"/>
    <xf numFmtId="165" fontId="4" fillId="5" borderId="1" pivotButton="0" quotePrefix="0" xfId="0"/>
    <xf numFmtId="0" fontId="3" fillId="4" borderId="1" applyAlignment="1" pivotButton="0" quotePrefix="0" xfId="0">
      <alignment horizontal="center" vertical="center" wrapText="1"/>
    </xf>
    <xf numFmtId="9" fontId="5" fillId="3" borderId="1" pivotButton="0" quotePrefix="0" xfId="0"/>
    <xf numFmtId="164" fontId="5" fillId="3" borderId="1" pivotButton="0" quotePrefix="0" xfId="0"/>
    <xf numFmtId="0" fontId="0" fillId="9" borderId="0" pivotButton="0" quotePrefix="0" xfId="0"/>
    <xf numFmtId="0" fontId="0" fillId="10" borderId="0" pivotButton="0" quotePrefix="0" xfId="0"/>
    <xf numFmtId="0" fontId="12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right" vertical="center"/>
    </xf>
    <xf numFmtId="0" fontId="13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0" fillId="11" borderId="0" pivotButton="0" quotePrefix="0" xfId="0"/>
    <xf numFmtId="0" fontId="15" fillId="11" borderId="0" applyAlignment="1" pivotButton="0" quotePrefix="0" xfId="0">
      <alignment horizontal="center" vertical="center"/>
    </xf>
    <xf numFmtId="0" fontId="0" fillId="8" borderId="0" pivotButton="0" quotePrefix="0" xfId="0"/>
    <xf numFmtId="0" fontId="16" fillId="12" borderId="8" applyAlignment="1" pivotButton="0" quotePrefix="0" xfId="0">
      <alignment horizontal="left" vertical="center" wrapText="1" indent="1"/>
    </xf>
    <xf numFmtId="0" fontId="0" fillId="12" borderId="9" pivotButton="0" quotePrefix="0" xfId="0"/>
    <xf numFmtId="0" fontId="16" fillId="12" borderId="10" applyAlignment="1" pivotButton="0" quotePrefix="0" xfId="0">
      <alignment horizontal="left" vertical="center" wrapText="1" indent="1"/>
    </xf>
    <xf numFmtId="0" fontId="0" fillId="12" borderId="11" pivotButton="0" quotePrefix="0" xfId="0"/>
    <xf numFmtId="0" fontId="16" fillId="12" borderId="12" applyAlignment="1" pivotButton="0" quotePrefix="0" xfId="0">
      <alignment horizontal="left" vertical="center" wrapText="1" indent="1"/>
    </xf>
    <xf numFmtId="0" fontId="0" fillId="12" borderId="13" pivotButton="0" quotePrefix="0" xfId="0"/>
    <xf numFmtId="0" fontId="16" fillId="12" borderId="14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16" fillId="12" borderId="16" applyAlignment="1" pivotButton="0" quotePrefix="0" xfId="0">
      <alignment horizontal="left" vertical="center" wrapText="1" indent="1"/>
    </xf>
    <xf numFmtId="0" fontId="0" fillId="12" borderId="17" pivotButton="0" quotePrefix="0" xfId="0"/>
    <xf numFmtId="3" fontId="17" fillId="12" borderId="6" applyAlignment="1" pivotButton="0" quotePrefix="0" xfId="0">
      <alignment horizontal="left" vertical="center" indent="1"/>
    </xf>
    <xf numFmtId="0" fontId="0" fillId="12" borderId="7" pivotButton="0" quotePrefix="0" xfId="0"/>
    <xf numFmtId="4" fontId="17" fillId="12" borderId="6" applyAlignment="1" pivotButton="0" quotePrefix="0" xfId="0">
      <alignment horizontal="left" vertical="center" indent="1"/>
    </xf>
    <xf numFmtId="0" fontId="18" fillId="12" borderId="6" applyAlignment="1" pivotButton="0" quotePrefix="0" xfId="0">
      <alignment horizontal="left" vertical="top" wrapText="1" indent="1"/>
    </xf>
    <xf numFmtId="0" fontId="7" fillId="8" borderId="18" applyAlignment="1" pivotButton="0" quotePrefix="0" xfId="0">
      <alignment horizontal="left" vertical="bottom"/>
    </xf>
    <xf numFmtId="0" fontId="0" fillId="0" borderId="18" pivotButton="0" quotePrefix="0" xfId="0"/>
    <xf numFmtId="0" fontId="19" fillId="8" borderId="18" applyAlignment="1" pivotButton="0" quotePrefix="0" xfId="0">
      <alignment horizontal="right" vertical="bottom"/>
    </xf>
    <xf numFmtId="0" fontId="11" fillId="12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0" fillId="12" borderId="22" pivotButton="0" quotePrefix="0" xfId="0"/>
    <xf numFmtId="0" fontId="0" fillId="12" borderId="23" pivotButton="0" quotePrefix="0" xfId="0"/>
    <xf numFmtId="0" fontId="0" fillId="12" borderId="24" pivotButton="0" quotePrefix="0" xfId="0"/>
    <xf numFmtId="0" fontId="20" fillId="1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0" fillId="12" borderId="25" pivotButton="0" quotePrefix="0" xfId="0"/>
    <xf numFmtId="0" fontId="0" fillId="12" borderId="26" pivotButton="0" quotePrefix="0" xfId="0"/>
    <xf numFmtId="0" fontId="0" fillId="12" borderId="27" pivotButton="0" quotePrefix="0" xfId="0"/>
    <xf numFmtId="0" fontId="21" fillId="12" borderId="10" applyAlignment="1" pivotButton="0" quotePrefix="0" xfId="0">
      <alignment horizontal="left" vertical="center" wrapText="1" indent="1"/>
    </xf>
    <xf numFmtId="0" fontId="21" fillId="12" borderId="8" applyAlignment="1" pivotButton="0" quotePrefix="0" xfId="0">
      <alignment horizontal="left" vertical="center" wrapText="1" indent="1"/>
    </xf>
    <xf numFmtId="0" fontId="22" fillId="12" borderId="6" applyAlignment="1" pivotButton="0" quotePrefix="0" xfId="0">
      <alignment horizontal="left" vertical="center" indent="1"/>
    </xf>
    <xf numFmtId="165" fontId="22" fillId="12" borderId="6" applyAlignment="1" pivotButton="0" quotePrefix="0" xfId="0">
      <alignment horizontal="left" vertical="center" indent="1"/>
    </xf>
    <xf numFmtId="0" fontId="23" fillId="12" borderId="6" applyAlignment="1" pivotButton="0" quotePrefix="0" xfId="0">
      <alignment horizontal="left" vertical="top" wrapText="1" indent="1"/>
    </xf>
    <xf numFmtId="0" fontId="24" fillId="11" borderId="22" applyAlignment="1" pivotButton="0" quotePrefix="0" xfId="0">
      <alignment horizontal="left" vertical="center" indent="1"/>
    </xf>
    <xf numFmtId="0" fontId="0" fillId="0" borderId="23" pivotButton="0" quotePrefix="0" xfId="0"/>
    <xf numFmtId="0" fontId="24" fillId="11" borderId="23" applyAlignment="1" pivotButton="0" quotePrefix="0" xfId="0">
      <alignment horizontal="center" vertical="center"/>
    </xf>
    <xf numFmtId="0" fontId="24" fillId="11" borderId="24" applyAlignment="1" pivotButton="0" quotePrefix="0" xfId="0">
      <alignment horizontal="center" vertical="center"/>
    </xf>
    <xf numFmtId="0" fontId="25" fillId="12" borderId="29" applyAlignment="1" pivotButton="0" quotePrefix="0" xfId="0">
      <alignment horizontal="left" vertical="center" indent="1"/>
    </xf>
    <xf numFmtId="0" fontId="0" fillId="0" borderId="28" pivotButton="0" quotePrefix="0" xfId="0"/>
    <xf numFmtId="0" fontId="25" fillId="12" borderId="28" applyAlignment="1" pivotButton="0" quotePrefix="0" xfId="0">
      <alignment horizontal="center" vertical="center"/>
    </xf>
    <xf numFmtId="3" fontId="25" fillId="12" borderId="28" applyAlignment="1" pivotButton="0" quotePrefix="0" xfId="0">
      <alignment horizontal="center" vertical="center"/>
    </xf>
    <xf numFmtId="0" fontId="25" fillId="12" borderId="30" applyAlignment="1" pivotButton="0" quotePrefix="0" xfId="0">
      <alignment horizontal="center" vertical="center"/>
    </xf>
    <xf numFmtId="0" fontId="26" fillId="12" borderId="29" applyAlignment="1" pivotButton="0" quotePrefix="0" xfId="0">
      <alignment horizontal="left" vertical="center" indent="1"/>
    </xf>
    <xf numFmtId="3" fontId="26" fillId="12" borderId="30" applyAlignment="1" pivotButton="0" quotePrefix="0" xfId="0">
      <alignment horizontal="center" vertical="center"/>
    </xf>
    <xf numFmtId="3" fontId="26" fillId="12" borderId="28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5" fontId="10" fillId="0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right" vertical="center"/>
    </xf>
    <xf numFmtId="0" fontId="11" fillId="0" borderId="0" pivotButton="0" quotePrefix="0" xfId="0"/>
    <xf numFmtId="9" fontId="10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167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1" applyAlignment="1" pivotButton="0" quotePrefix="0" xfId="0">
      <alignment horizontal="right" vertical="center"/>
    </xf>
    <xf numFmtId="9" fontId="5" fillId="7" borderId="1" pivotButton="0" quotePrefix="0" xfId="0"/>
    <xf numFmtId="1" fontId="5" fillId="7" borderId="1" pivotButton="0" quotePrefix="0" xfId="0"/>
  </cellXfs>
  <cellStyles count="1">
    <cellStyle name="Normal" xfId="0" builtinId="0" hidden="0"/>
  </cellStyles>
  <dxfs count="7">
    <dxf>
      <font>
        <name val="Arial"/>
        <b val="1"/>
        <color rgb="009C0006"/>
      </font>
    </dxf>
    <dxf>
      <fill>
        <patternFill patternType="solid">
          <fgColor rgb="00F8CBCB"/>
          <bgColor rgb="00F8CBCB"/>
        </patternFill>
      </fill>
    </dxf>
    <dxf>
      <fill>
        <patternFill patternType="solid">
          <fgColor rgb="00FFE9A8"/>
          <bgColor rgb="00FFE9A8"/>
        </patternFill>
      </fill>
    </dxf>
    <dxf>
      <font>
        <name val="Arial"/>
        <b val="1"/>
        <color rgb="001E6B3A"/>
      </font>
      <fill>
        <patternFill patternType="solid">
          <fgColor rgb="00CDEBD6"/>
          <bgColor rgb="00CDEBD6"/>
        </patternFill>
      </fill>
    </dxf>
    <dxf>
      <font>
        <name val="Arial"/>
        <b val="1"/>
        <color rgb="009C0006"/>
      </font>
      <fill>
        <patternFill patternType="solid">
          <fgColor rgb="00F8CBCB"/>
          <bgColor rgb="00F8CBCB"/>
        </patternFill>
      </fill>
    </dxf>
    <dxf>
      <font>
        <name val="Arial"/>
        <b val="1"/>
        <color rgb="007F6000"/>
      </font>
      <fill>
        <patternFill patternType="solid">
          <fgColor rgb="00FFE9A8"/>
          <bgColor rgb="00FFE9A8"/>
        </patternFill>
      </fill>
    </dxf>
    <dxf>
      <font>
        <name val="Arial"/>
        <b val="1"/>
        <color rgb="00B03A2E"/>
        <sz val="2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F6690"/>
            </a:solidFill>
            <a:ln xmlns:a="http://schemas.openxmlformats.org/drawingml/2006/main">
              <a:solidFill>
                <a:srgbClr val="2F6690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'Analises'!$B$8:$B$10</f>
            </numRef>
          </cat>
          <val>
            <numRef>
              <f>'Analises'!$D$8:$D$10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9772B"/>
            </a:solidFill>
            <a:ln xmlns:a="http://schemas.openxmlformats.org/drawingml/2006/main">
              <a:solidFill>
                <a:srgbClr val="C9772B"/>
              </a:solidFill>
              <a:prstDash val="solid"/>
            </a:ln>
          </spPr>
          <invertIfNegative val="0"/>
          <dLbls>
            <numFmt formatCode="#,##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'Analises'!$B$8:$B$10</f>
            </numRef>
          </cat>
          <val>
            <numRef>
              <f>'Analises'!$E$8:$E$10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autoTitleDeleted val="1"/>
    <plotArea>
      <layout>
        <manualLayout>
          <layoutTarget val="inner"/>
          <xMode val="edge"/>
          <yMode val="edge"/>
          <wMode val="factor"/>
          <hMode val="factor"/>
          <x val="0.2"/>
          <y val="0.03"/>
          <w val="0.62"/>
          <h val="0.9399999999999999"/>
        </manualLayout>
      </layout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6690"/>
            </a:solidFill>
            <a:ln xmlns:a="http://schemas.openxmlformats.org/drawingml/2006/main">
              <a:solidFill>
                <a:srgbClr val="2F6690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'Analises'!$B$26:$B$31</f>
            </numRef>
          </cat>
          <val>
            <numRef>
              <f>'Analises'!$C$26:$C$31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style val="2"/>
  <chart>
    <autoTitleDeleted val="1"/>
    <plotArea>
      <layout>
        <manualLayout>
          <layoutTarget val="inner"/>
          <xMode val="edge"/>
          <yMode val="edge"/>
          <wMode val="factor"/>
          <hMode val="factor"/>
          <x val="0.2"/>
          <y val="0.03"/>
          <w val="0.62"/>
          <h val="0.9399999999999999"/>
        </manualLayout>
      </layout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9772B"/>
            </a:solidFill>
            <a:ln xmlns:a="http://schemas.openxmlformats.org/drawingml/2006/main">
              <a:solidFill>
                <a:srgbClr val="C9772B"/>
              </a:solidFill>
              <a:prstDash val="solid"/>
            </a:ln>
          </spPr>
          <invertIfNegative val="0"/>
          <dLbls>
            <numFmt formatCode="#,##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'Analises'!$G$26:$G$31</f>
            </numRef>
          </cat>
          <val>
            <numRef>
              <f>'Analises'!$H$26:$H$31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roundedCorners val="0"/>
  <style val="2"/>
  <chart>
    <autoTitleDeleted val="1"/>
    <plotArea>
      <layout>
        <manualLayout>
          <layoutTarget val="inner"/>
          <xMode val="edge"/>
          <yMode val="edge"/>
          <wMode val="factor"/>
          <hMode val="factor"/>
          <x val="0.2"/>
          <y val="0.03"/>
          <w val="0.62"/>
          <h val="0.9399999999999999"/>
        </manualLayout>
      </layout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6690"/>
            </a:solidFill>
            <a:ln xmlns:a="http://schemas.openxmlformats.org/drawingml/2006/main">
              <a:solidFill>
                <a:srgbClr val="2F6690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'Analises'!$B$45:$B$49</f>
            </numRef>
          </cat>
          <val>
            <numRef>
              <f>'Analises'!$C$45:$C$49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roundedCorners val="0"/>
  <style val="2"/>
  <chart>
    <autoTitleDeleted val="1"/>
    <plotArea>
      <layout>
        <manualLayout>
          <layoutTarget val="inner"/>
          <xMode val="edge"/>
          <yMode val="edge"/>
          <wMode val="factor"/>
          <hMode val="factor"/>
          <x val="0.2"/>
          <y val="0.03"/>
          <w val="0.62"/>
          <h val="0.9399999999999999"/>
        </manualLayout>
      </layout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9772B"/>
            </a:solidFill>
            <a:ln xmlns:a="http://schemas.openxmlformats.org/drawingml/2006/main">
              <a:solidFill>
                <a:srgbClr val="C9772B"/>
              </a:solidFill>
              <a:prstDash val="solid"/>
            </a:ln>
          </spPr>
          <invertIfNegative val="0"/>
          <dLbls>
            <numFmt formatCode="#,##0.00" sourceLinked="0"/>
            <txPr>
              <a:bodyPr xmlns:a="http://schemas.openxmlformats.org/drawingml/2006/main"/>
              <a:p xmlns:a="http://schemas.openxmlformats.org/drawingml/2006/main">
                <a:pPr>
                  <a:defRPr sz="800" b="0">
                    <a:solidFill>
                      <a:srgbClr val="37474F"/>
                    </a:solidFill>
                    <a:latin typeface="Arial"/>
                  </a:defRPr>
                </a:pPr>
                <a:endParaRPr sz="8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'Analises'!$G$45:$G$49</f>
            </numRef>
          </cat>
          <val>
            <numRef>
              <f>'Analises'!$H$45:$H$49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44546A"/>
                </a:solidFill>
                <a:latin typeface="Arial"/>
              </a:defRPr>
            </a:pPr>
            <a:endParaRPr sz="8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tx>
            <strRef>
              <f>'Analises'!I78</f>
            </strRef>
          </tx>
          <spPr>
            <a:solidFill xmlns:a="http://schemas.openxmlformats.org/drawingml/2006/main">
              <a:srgbClr val="C9772B"/>
            </a:solidFill>
            <a:ln xmlns:a="http://schemas.openxmlformats.org/drawingml/2006/main">
              <a:solidFill>
                <a:srgbClr val="C9772B"/>
              </a:solidFill>
              <a:prstDash val="solid"/>
            </a:ln>
          </spPr>
          <invertIfNegative val="0"/>
          <cat>
            <numRef>
              <f>'Analises'!$C$79:$C$98</f>
            </numRef>
          </cat>
          <val>
            <numRef>
              <f>'Analises'!$I$79:$I$98</f>
            </numRef>
          </val>
        </ser>
        <ser>
          <idx val="1"/>
          <order val="1"/>
          <tx>
            <strRef>
              <f>'Analises'!J78</f>
            </strRef>
          </tx>
          <spPr>
            <a:solidFill xmlns:a="http://schemas.openxmlformats.org/drawingml/2006/main">
              <a:srgbClr val="E6CBB0"/>
            </a:solidFill>
            <a:ln xmlns:a="http://schemas.openxmlformats.org/drawingml/2006/main">
              <a:solidFill>
                <a:srgbClr val="E6CBB0"/>
              </a:solidFill>
              <a:prstDash val="solid"/>
            </a:ln>
          </spPr>
          <invertIfNegative val="0"/>
          <cat>
            <numRef>
              <f>'Analises'!$C$79:$C$98</f>
            </numRef>
          </cat>
          <val>
            <numRef>
              <f>'Analises'!$J$79:$J$98</f>
            </numRef>
          </val>
        </ser>
        <gapWidth val="35"/>
        <overlap val="100"/>
        <axId val="10"/>
        <axId val="100"/>
      </barChart>
      <lineChart>
        <grouping val="standard"/>
        <ser>
          <idx val="2"/>
          <order val="2"/>
          <tx>
            <strRef>
              <f>'Analises'!F78</f>
            </strRef>
          </tx>
          <spPr>
            <a:ln xmlns:a="http://schemas.openxmlformats.org/drawingml/2006/main" w="22225">
              <a:solidFill>
                <a:srgbClr val="37474F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7474F"/>
              </a:solidFill>
              <a:ln xmlns:a="http://schemas.openxmlformats.org/drawingml/2006/main">
                <a:solidFill>
                  <a:srgbClr val="37474F"/>
                </a:solidFill>
                <a:prstDash val="solid"/>
              </a:ln>
            </spPr>
          </marker>
          <cat>
            <numRef>
              <f>'Analises'!$C$79:$C$98</f>
            </numRef>
          </cat>
          <val>
            <numRef>
              <f>'Analises'!$F$79:$F$98</f>
            </numRef>
          </val>
          <smooth val="0"/>
        </ser>
        <ser>
          <idx val="3"/>
          <order val="3"/>
          <tx>
            <strRef>
              <f>'Analises'!G78</f>
            </strRef>
          </tx>
          <spPr>
            <a:ln xmlns:a="http://schemas.openxmlformats.org/drawingml/2006/main" w="15875">
              <a:solidFill>
                <a:srgbClr val="B03A2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'Analises'!$C$79:$C$98</f>
            </numRef>
          </cat>
          <val>
            <numRef>
              <f>'Analises'!$G$79:$G$98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 rot="-5400000" vert="horz"/>
          <a:p xmlns:a="http://schemas.openxmlformats.org/drawingml/2006/main">
            <a:pPr>
              <a:defRPr sz="700" b="0">
                <a:solidFill>
                  <a:srgbClr val="44546A"/>
                </a:solidFill>
                <a:latin typeface="Arial"/>
              </a:defRPr>
            </a:pPr>
            <a:endParaRPr sz="7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C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  <crosses val="min"/>
      </valAx>
      <valAx>
        <axId val="2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  <crosses val="max"/>
        <majorUnit val="0.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4546A"/>
              </a:solidFill>
              <a:latin typeface="Arial"/>
            </a:defRPr>
          </a:pPr>
          <a:endParaRPr sz="800" b="0">
            <a:solidFill>
              <a:srgbClr val="44546A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roundedCorners val="0"/>
  <style val="2"/>
  <chart>
    <autoTitleDeleted val="1"/>
    <plotArea>
      <barChart>
        <barDir val="col"/>
        <grouping val="clustered"/>
        <ser>
          <idx val="0"/>
          <order val="0"/>
          <tx>
            <strRef>
              <f>'Analises'!I103</f>
            </strRef>
          </tx>
          <spPr>
            <a:solidFill xmlns:a="http://schemas.openxmlformats.org/drawingml/2006/main">
              <a:srgbClr val="2F6690"/>
            </a:solidFill>
            <a:ln xmlns:a="http://schemas.openxmlformats.org/drawingml/2006/main">
              <a:solidFill>
                <a:srgbClr val="2F6690"/>
              </a:solidFill>
              <a:prstDash val="solid"/>
            </a:ln>
          </spPr>
          <invertIfNegative val="0"/>
          <cat>
            <numRef>
              <f>'Analises'!$C$104:$C$123</f>
            </numRef>
          </cat>
          <val>
            <numRef>
              <f>'Analises'!$I$104:$I$123</f>
            </numRef>
          </val>
        </ser>
        <ser>
          <idx val="1"/>
          <order val="1"/>
          <tx>
            <strRef>
              <f>'Analises'!J103</f>
            </strRef>
          </tx>
          <spPr>
            <a:solidFill xmlns:a="http://schemas.openxmlformats.org/drawingml/2006/main">
              <a:srgbClr val="B7C9DA"/>
            </a:solidFill>
            <a:ln xmlns:a="http://schemas.openxmlformats.org/drawingml/2006/main">
              <a:solidFill>
                <a:srgbClr val="B7C9DA"/>
              </a:solidFill>
              <a:prstDash val="solid"/>
            </a:ln>
          </spPr>
          <invertIfNegative val="0"/>
          <cat>
            <numRef>
              <f>'Analises'!$C$104:$C$123</f>
            </numRef>
          </cat>
          <val>
            <numRef>
              <f>'Analises'!$J$104:$J$123</f>
            </numRef>
          </val>
        </ser>
        <gapWidth val="35"/>
        <overlap val="100"/>
        <axId val="10"/>
        <axId val="100"/>
      </barChart>
      <lineChart>
        <grouping val="standard"/>
        <ser>
          <idx val="2"/>
          <order val="2"/>
          <tx>
            <strRef>
              <f>'Analises'!F103</f>
            </strRef>
          </tx>
          <spPr>
            <a:ln xmlns:a="http://schemas.openxmlformats.org/drawingml/2006/main" w="22225">
              <a:solidFill>
                <a:srgbClr val="37474F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7474F"/>
              </a:solidFill>
              <a:ln xmlns:a="http://schemas.openxmlformats.org/drawingml/2006/main">
                <a:solidFill>
                  <a:srgbClr val="37474F"/>
                </a:solidFill>
                <a:prstDash val="solid"/>
              </a:ln>
            </spPr>
          </marker>
          <cat>
            <numRef>
              <f>'Analises'!$C$104:$C$123</f>
            </numRef>
          </cat>
          <val>
            <numRef>
              <f>'Analises'!$F$104:$F$123</f>
            </numRef>
          </val>
          <smooth val="0"/>
        </ser>
        <ser>
          <idx val="3"/>
          <order val="3"/>
          <tx>
            <strRef>
              <f>'Analises'!G103</f>
            </strRef>
          </tx>
          <spPr>
            <a:ln xmlns:a="http://schemas.openxmlformats.org/drawingml/2006/main" w="15875">
              <a:solidFill>
                <a:srgbClr val="B03A2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'Analises'!$C$104:$C$123</f>
            </numRef>
          </cat>
          <val>
            <numRef>
              <f>'Analises'!$G$104:$G$123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 rot="-5400000" vert="horz"/>
          <a:p xmlns:a="http://schemas.openxmlformats.org/drawingml/2006/main">
            <a:pPr>
              <a:defRPr sz="700" b="0">
                <a:solidFill>
                  <a:srgbClr val="44546A"/>
                </a:solidFill>
                <a:latin typeface="Arial"/>
              </a:defRPr>
            </a:pPr>
            <a:endParaRPr sz="700" b="0">
              <a:solidFill>
                <a:srgbClr val="44546A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C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  <crosses val="min"/>
      </valAx>
      <valAx>
        <axId val="200"/>
        <scaling>
          <orientation val="minMax"/>
          <max val="1"/>
          <min val="0"/>
        </scaling>
        <delete val="0"/>
        <axPos val="l"/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  <crosses val="max"/>
        <majorUnit val="0.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4546A"/>
              </a:solidFill>
              <a:latin typeface="Arial"/>
            </a:defRPr>
          </a:pPr>
          <a:endParaRPr sz="800" b="0">
            <a:solidFill>
              <a:srgbClr val="44546A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roundedCorners val="0"/>
  <style val="2"/>
  <chart>
    <autoTitleDeleted val="1"/>
    <plotArea>
      <barChart>
        <barDir val="bar"/>
        <grouping val="clustered"/>
        <ser>
          <idx val="0"/>
          <order val="0"/>
          <tx>
            <strRef>
              <f>'Analises'!D200</f>
            </strRef>
          </tx>
          <spPr>
            <a:solidFill xmlns:a="http://schemas.openxmlformats.org/drawingml/2006/main">
              <a:srgbClr val="2F6690"/>
            </a:solidFill>
            <a:ln xmlns:a="http://schemas.openxmlformats.org/drawingml/2006/main">
              <a:solidFill>
                <a:srgbClr val="2F6690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700" b="0">
                    <a:solidFill>
                      <a:srgbClr val="37474F"/>
                    </a:solidFill>
                    <a:latin typeface="Arial"/>
                  </a:defRPr>
                </a:pPr>
                <a:endParaRPr sz="7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'Analises'!$B$201:$B$210</f>
            </numRef>
          </cat>
          <val>
            <numRef>
              <f>'Analises'!$D$201:$D$210</f>
            </numRef>
          </val>
        </ser>
        <ser>
          <idx val="1"/>
          <order val="1"/>
          <tx>
            <strRef>
              <f>'Analises'!E200</f>
            </strRef>
          </tx>
          <spPr>
            <a:solidFill xmlns:a="http://schemas.openxmlformats.org/drawingml/2006/main">
              <a:srgbClr val="9AA5B1"/>
            </a:solidFill>
            <a:ln xmlns:a="http://schemas.openxmlformats.org/drawingml/2006/main">
              <a:solidFill>
                <a:srgbClr val="9AA5B1"/>
              </a:solidFill>
              <a:prstDash val="solid"/>
            </a:ln>
          </spPr>
          <invertIfNegative val="0"/>
          <dLbls>
            <numFmt formatCode="#,##0" sourceLinked="0"/>
            <txPr>
              <a:bodyPr xmlns:a="http://schemas.openxmlformats.org/drawingml/2006/main"/>
              <a:p xmlns:a="http://schemas.openxmlformats.org/drawingml/2006/main">
                <a:pPr>
                  <a:defRPr sz="700" b="0">
                    <a:solidFill>
                      <a:srgbClr val="37474F"/>
                    </a:solidFill>
                    <a:latin typeface="Arial"/>
                  </a:defRPr>
                </a:pPr>
                <a:endParaRPr sz="700" b="0">
                  <a:solidFill>
                    <a:srgbClr val="37474F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'Analises'!$B$201:$B$210</f>
            </numRef>
          </cat>
          <val>
            <numRef>
              <f>'Analises'!$E$201:$E$210</f>
            </numRef>
          </val>
        </ser>
        <gapWidth val="55"/>
        <overlap val="-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5DB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222222"/>
                </a:solidFill>
                <a:latin typeface="Arial"/>
              </a:defRPr>
            </a:pPr>
            <a:endParaRPr sz="800" b="0">
              <a:solidFill>
                <a:srgbClr val="222222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5B6B7A"/>
                </a:solidFill>
                <a:latin typeface="Arial"/>
              </a:defRPr>
            </a:pPr>
            <a:endParaRPr sz="800" b="0">
              <a:solidFill>
                <a:srgbClr val="5B6B7A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44546A"/>
              </a:solidFill>
              <a:latin typeface="Arial"/>
            </a:defRPr>
          </a:pPr>
          <a:endParaRPr sz="800" b="0">
            <a:solidFill>
              <a:srgbClr val="44546A"/>
            </a:solidFill>
            <a:latin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Lobo Insights</author>
  </authors>
  <commentList>
    <comment ref="K1" authorId="0" shapeId="0">
      <text>
        <t>REPOR se Estoque_Atual &lt;= Estoque_Minimo. ATENÇÃO se Atual &gt; Mínimo e Atual &lt;= Mínimo x (1 + Margem_ATENCAO). Caso contrário OK. Regra de estado ATUAL, não é previsão.</t>
      </text>
    </comment>
    <comment ref="L1" authorId="0" shapeId="0">
      <text>
        <t>Sim quando Criticidade = Alta e Status_Estoque = REPOR (Estoque_Atual &lt;= Mínimo). Definição conservadora: só REPOR, não inclui ATENÇÃO.</t>
      </text>
    </comment>
  </commentList>
</comments>
</file>

<file path=xl/comments/comment2.xml><?xml version="1.0" encoding="utf-8"?>
<comments xmlns="http://schemas.openxmlformats.org/spreadsheetml/2006/main">
  <authors>
    <author>Lobo Insights</author>
  </authors>
  <commentList>
    <comment ref="K1" authorId="0" shapeId="0">
      <text>
        <t>Quantidade x Custo_Unitario, arredondado a 2 casas (custo estimado, valor fictício).</t>
      </text>
    </comment>
    <comment ref="L1" authorId="0" shapeId="0">
      <text>
        <t>Ano-mês (aaaa-mm) da Data. Usa TEXT(...,"00") para não depender do idioma do Excel.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</row>
      <rowOff>0</rowOff>
    </from>
    <to>
      <col>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11</row>
      <rowOff>0</rowOff>
    </from>
    <to>
      <col>13</col>
      <colOff>0</colOff>
      <row>20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24</row>
      <rowOff>0</rowOff>
    </from>
    <to>
      <col>7</col>
      <colOff>0</colOff>
      <row>33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24</row>
      <rowOff>0</rowOff>
    </from>
    <to>
      <col>13</col>
      <colOff>0</colOff>
      <row>33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37</row>
      <rowOff>0</rowOff>
    </from>
    <to>
      <col>7</col>
      <colOff>0</colOff>
      <row>45</row>
      <rowOff>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0</colOff>
      <row>37</row>
      <rowOff>0</rowOff>
    </from>
    <to>
      <col>13</col>
      <colOff>0</colOff>
      <row>45</row>
      <rowOff>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</col>
      <colOff>0</colOff>
      <row>49</row>
      <rowOff>0</rowOff>
    </from>
    <to>
      <col>7</col>
      <colOff>0</colOff>
      <row>68</row>
      <rowOff>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7</col>
      <colOff>0</colOff>
      <row>49</row>
      <rowOff>0</rowOff>
    </from>
    <to>
      <col>13</col>
      <colOff>0</colOff>
      <row>68</row>
      <rowOff>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 editAs="oneCell">
    <from>
      <col>7</col>
      <colOff>0</colOff>
      <row>75</row>
      <rowOff>0</rowOff>
    </from>
    <to>
      <col>13</col>
      <colOff>0</colOff>
      <row>92</row>
      <rowOff>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Materiais" displayName="tbMateriais" ref="A1:G21" headerRowCount="1">
  <autoFilter ref="A1:G21"/>
  <tableColumns count="7">
    <tableColumn id="1" name="Material_ID"/>
    <tableColumn id="2" name="Material"/>
    <tableColumn id="3" name="Categoria"/>
    <tableColumn id="4" name="Unidade"/>
    <tableColumn id="5" name="Custo_Unitario"/>
    <tableColumn id="6" name="Criticidade"/>
    <tableColumn id="7" name="Fornecedor"/>
  </tableColumns>
  <tableStyleInfo name="TableStyleMedium2" showRowStripes="1"/>
</table>
</file>

<file path=xl/tables/table2.xml><?xml version="1.0" encoding="utf-8"?>
<table xmlns="http://schemas.openxmlformats.org/spreadsheetml/2006/main" id="2" name="tbEstoque" displayName="tbEstoque" ref="A1:L21" headerRowCount="1">
  <autoFilter ref="A1:L21"/>
  <tableColumns count="12">
    <tableColumn id="1" name="Material_ID"/>
    <tableColumn id="2" name="Material"/>
    <tableColumn id="3" name="Categoria"/>
    <tableColumn id="4" name="Unidade"/>
    <tableColumn id="5" name="Estoque_Atual"/>
    <tableColumn id="6" name="Estoque_Minimo"/>
    <tableColumn id="7" name="Custo_Unitario"/>
    <tableColumn id="8" name="Lead_Time_Dias"/>
    <tableColumn id="9" name="Fornecedor"/>
    <tableColumn id="10" name="Criticidade"/>
    <tableColumn id="11" name="Status_Estoque"/>
    <tableColumn id="12" name="Critico_Em_Risco"/>
  </tableColumns>
  <tableStyleInfo name="TableStyleMedium2" showRowStripes="1"/>
</table>
</file>

<file path=xl/tables/table3.xml><?xml version="1.0" encoding="utf-8"?>
<table xmlns="http://schemas.openxmlformats.org/spreadsheetml/2006/main" id="3" name="tbConsumo" displayName="tbConsumo" ref="A1:L181" headerRowCount="1">
  <autoFilter ref="A1:L181"/>
  <tableColumns count="12">
    <tableColumn id="1" name="Movimento_ID"/>
    <tableColumn id="2" name="Data"/>
    <tableColumn id="3" name="Material_ID"/>
    <tableColumn id="4" name="Material"/>
    <tableColumn id="5" name="Categoria"/>
    <tableColumn id="6" name="Quantidade"/>
    <tableColumn id="7" name="Unidade"/>
    <tableColumn id="8" name="Custo_Unitario"/>
    <tableColumn id="9" name="Centro_Trabalho"/>
    <tableColumn id="10" name="Tipo_Movimentacao"/>
    <tableColumn id="11" name="Custo_Movimentado"/>
    <tableColumn id="12" name="Mes"/>
  </tableColumns>
  <tableStyleInfo name="TableStyleMedium2" showRowStripes="1"/>
</table>
</file>

<file path=xl/tables/table4.xml><?xml version="1.0" encoding="utf-8"?>
<table xmlns="http://schemas.openxmlformats.org/spreadsheetml/2006/main" id="4" name="tbQualidade" displayName="tbQualidade" ref="A9:E45" headerRowCount="1">
  <autoFilter ref="A9:E45"/>
  <tableColumns count="5">
    <tableColumn id="1" name="Teste"/>
    <tableColumn id="2" name="Regra"/>
    <tableColumn id="3" name="Resultado"/>
    <tableColumn id="4" name="Quantidade de erros"/>
    <tableColumn id="5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C9772B"/>
    <outlinePr summaryBelow="1" summaryRight="1"/>
    <pageSetUpPr fitToPage="1"/>
  </sheetPr>
  <dimension ref="A1:N98"/>
  <sheetViews>
    <sheetView showGridLines="0" tabSelected="1" zoomScale="100" workbookViewId="0">
      <selection activeCell="A1" sqref="A1"/>
    </sheetView>
  </sheetViews>
  <sheetFormatPr baseColWidth="8" defaultRowHeight="15"/>
  <cols>
    <col width="1.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.7" customWidth="1" min="14" max="14"/>
  </cols>
  <sheetData>
    <row r="1" ht="5" customHeight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t="34" customHeight="1">
      <c r="A2" s="40" t="n"/>
      <c r="B2" s="41" t="inlineStr">
        <is>
          <t>LOBO INSIGHTS INDUSTRIAL</t>
        </is>
      </c>
      <c r="J2" s="42" t="str">
        <f>"Período: "&amp;Analises!B8&amp;" a "&amp;Analises!B10</f>
        <v>Período: Jun/2026 a Ago/2026</v>
      </c>
      <c r="N2" s="40" t="n"/>
    </row>
    <row r="3" ht="18" customHeight="1">
      <c r="A3" s="40" t="n"/>
      <c r="B3" s="43" t="inlineStr">
        <is>
          <t>Visão Executiva | Consumo, Custos e Estoque</t>
        </is>
      </c>
      <c r="J3" s="44" t="inlineStr">
        <is>
          <t>Dados 100% sintéticos · sem previsão · não é recomendação operacional</t>
        </is>
      </c>
      <c r="N3" s="40" t="n"/>
    </row>
    <row r="4" ht="20" customHeight="1">
      <c r="A4" s="45" t="n"/>
      <c r="B4" s="46" t="inlineStr">
        <is>
          <t>Indicadores (KPIs)</t>
        </is>
      </c>
      <c r="D4" s="46" t="inlineStr">
        <is>
          <t>Analises (cálculos)</t>
        </is>
      </c>
      <c r="F4" s="46" t="inlineStr">
        <is>
          <t>Estoque (dados)</t>
        </is>
      </c>
      <c r="H4" s="46" t="inlineStr">
        <is>
          <t>Qualidade dos dados</t>
        </is>
      </c>
      <c r="J4" s="46" t="inlineStr">
        <is>
          <t>Parametros</t>
        </is>
      </c>
      <c r="L4" s="46" t="inlineStr">
        <is>
          <t>LEIA_ME</t>
        </is>
      </c>
      <c r="N4" s="45" t="n"/>
    </row>
    <row r="5" ht="8" customHeight="1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</row>
    <row r="6" ht="27" customHeight="1">
      <c r="A6" s="47" t="n"/>
      <c r="B6" s="48" t="inlineStr">
        <is>
          <t>Unidades consumidas</t>
        </is>
      </c>
      <c r="C6" s="49" t="n"/>
      <c r="D6" s="50" t="inlineStr">
        <is>
          <t>Custo estimado consumido</t>
        </is>
      </c>
      <c r="E6" s="51" t="n"/>
      <c r="F6" s="52" t="inlineStr">
        <is>
          <t>Movimentações</t>
        </is>
      </c>
      <c r="G6" s="53" t="n"/>
      <c r="H6" s="52" t="inlineStr">
        <is>
          <t>Materiais distintos movimentados</t>
        </is>
      </c>
      <c r="I6" s="53" t="n"/>
      <c r="J6" s="54" t="inlineStr">
        <is>
          <t>Itens abaixo ou iguais ao mínimo</t>
        </is>
      </c>
      <c r="K6" s="55" t="n"/>
      <c r="L6" s="56" t="inlineStr">
        <is>
          <t>Itens críticos abaixo ou iguais ao mínimo</t>
        </is>
      </c>
      <c r="M6" s="57" t="n"/>
      <c r="N6" s="47" t="n"/>
    </row>
    <row r="7" ht="38" customHeight="1">
      <c r="A7" s="47" t="n"/>
      <c r="B7" s="58">
        <f>Indicadores!$B$6</f>
        <v>1647</v>
      </c>
      <c r="C7" s="59" t="n"/>
      <c r="D7" s="60">
        <f>Indicadores!$B$7</f>
        <v>24606.2</v>
      </c>
      <c r="E7" s="59" t="n"/>
      <c r="F7" s="58">
        <f>Indicadores!$B$8</f>
        <v>180</v>
      </c>
      <c r="G7" s="59" t="n"/>
      <c r="H7" s="58">
        <f>Indicadores!$B$9</f>
        <v>20</v>
      </c>
      <c r="I7" s="59" t="n"/>
      <c r="J7" s="58">
        <f>Indicadores!$B$10</f>
        <v>5</v>
      </c>
      <c r="K7" s="59" t="n"/>
      <c r="L7" s="58">
        <f>Indicadores!$B$11</f>
        <v>2</v>
      </c>
      <c r="M7" s="59" t="n"/>
      <c r="N7" s="47" t="n"/>
    </row>
    <row r="8" ht="28" customHeight="1">
      <c r="A8" s="47" t="n"/>
      <c r="B8" s="61" t="str">
        <f>"Média de "&amp;ROUND(Indicadores!$B$6/Indicadores!$B$8,1)&amp;" unidades por movimentação"</f>
        <v>Média de 9.2 unidades por movimentação</v>
      </c>
      <c r="C8" s="59" t="n"/>
      <c r="D8" s="61" t="str">
        <f>"Média de "&amp;FIXED(Indicadores!$B$7/Indicadores!$B$8,2)&amp;" por movimentação · valor fictício"</f>
        <v>Média de 136.70 por movimentação · valor fictício</v>
      </c>
      <c r="E8" s="59" t="n"/>
      <c r="F8" s="61" t="str">
        <f>"Registros de consumo em "&amp;ROWS(lstMeses)&amp;" meses ("&amp;Analises!B8&amp;" a "&amp;Analises!B10&amp;")"</f>
        <v>Registros de consumo em 3 meses (Jun/2026 a Ago/2026)</v>
      </c>
      <c r="G8" s="59" t="n"/>
      <c r="H8" s="61" t="str">
        <f>"de "&amp;ROWS(tbMateriais[Material_ID])&amp;" materiais do catálogo ("&amp;ROUND(Indicadores!$B$9/ROWS(tbMateriais[Material_ID])*100,0)&amp;"%)"</f>
        <v>de 20 materiais do catálogo (100%)</v>
      </c>
      <c r="I8" s="59" t="n"/>
      <c r="J8" s="61" t="str">
        <f>"de "&amp;ROWS(tbEstoque[Material_ID])&amp;" itens · mais "&amp;COUNTIF(tbEstoque[Status_Estoque],"ATENÇÃO")&amp;" em ATENÇÃO"</f>
        <v>de 20 itens · mais 4 em ATENÇÃO</v>
      </c>
      <c r="K8" s="59" t="n"/>
      <c r="L8" s="61" t="str">
        <f>"de "&amp;COUNTIF(tbEstoque[Criticidade],"Alta")&amp;" itens de criticidade Alta"</f>
        <v>de 5 itens de criticidade Alta</v>
      </c>
      <c r="M8" s="59" t="n"/>
      <c r="N8" s="47" t="n"/>
    </row>
    <row r="9" ht="8" customHeight="1">
      <c r="A9" s="47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</row>
    <row r="10" ht="22" customHeight="1">
      <c r="A10" s="47" t="n"/>
      <c r="B10" s="62" t="inlineStr">
        <is>
          <t>1 · Evolução mensal</t>
        </is>
      </c>
      <c r="C10" s="63" t="n"/>
      <c r="D10" s="63" t="n"/>
      <c r="E10" s="63" t="n"/>
      <c r="F10" s="63" t="n"/>
      <c r="G10" s="63" t="n"/>
      <c r="H10" s="63" t="n"/>
      <c r="I10" s="64" t="inlineStr">
        <is>
          <t>Variações entre meses vêm dos dados sintéticos; não indicam tendência.</t>
        </is>
      </c>
      <c r="J10" s="63" t="n"/>
      <c r="K10" s="63" t="n"/>
      <c r="L10" s="63" t="n"/>
      <c r="M10" s="63" t="n"/>
      <c r="N10" s="47" t="n"/>
    </row>
    <row r="11" ht="20" customHeight="1">
      <c r="A11" s="47" t="n"/>
      <c r="B11" s="65" t="inlineStr">
        <is>
          <t>Consumo mensal · unidades</t>
        </is>
      </c>
      <c r="C11" s="66" t="n"/>
      <c r="D11" s="66" t="n"/>
      <c r="E11" s="66" t="n"/>
      <c r="F11" s="66" t="n"/>
      <c r="G11" s="67" t="n"/>
      <c r="H11" s="65" t="inlineStr">
        <is>
          <t>Custo estimado mensal · valor fictício</t>
        </is>
      </c>
      <c r="I11" s="66" t="n"/>
      <c r="J11" s="66" t="n"/>
      <c r="K11" s="66" t="n"/>
      <c r="L11" s="66" t="n"/>
      <c r="M11" s="67" t="n"/>
      <c r="N11" s="47" t="n"/>
    </row>
    <row r="12" ht="15" customHeight="1">
      <c r="A12" s="47" t="n"/>
      <c r="B12" s="68" t="n"/>
      <c r="C12" s="69" t="n"/>
      <c r="D12" s="69" t="n"/>
      <c r="E12" s="69" t="n"/>
      <c r="F12" s="69" t="n"/>
      <c r="G12" s="70" t="n"/>
      <c r="H12" s="68" t="n"/>
      <c r="I12" s="69" t="n"/>
      <c r="J12" s="69" t="n"/>
      <c r="K12" s="69" t="n"/>
      <c r="L12" s="69" t="n"/>
      <c r="M12" s="70" t="n"/>
      <c r="N12" s="47" t="n"/>
    </row>
    <row r="13" ht="15" customHeight="1">
      <c r="A13" s="47" t="n"/>
      <c r="B13" s="68" t="n"/>
      <c r="C13" s="69" t="n"/>
      <c r="D13" s="69" t="n"/>
      <c r="E13" s="69" t="n"/>
      <c r="F13" s="69" t="n"/>
      <c r="G13" s="70" t="n"/>
      <c r="H13" s="68" t="n"/>
      <c r="I13" s="69" t="n"/>
      <c r="J13" s="69" t="n"/>
      <c r="K13" s="69" t="n"/>
      <c r="L13" s="69" t="n"/>
      <c r="M13" s="70" t="n"/>
      <c r="N13" s="47" t="n"/>
    </row>
    <row r="14" ht="15" customHeight="1">
      <c r="A14" s="47" t="n"/>
      <c r="B14" s="68" t="n"/>
      <c r="C14" s="69" t="n"/>
      <c r="D14" s="69" t="n"/>
      <c r="E14" s="69" t="n"/>
      <c r="F14" s="69" t="n"/>
      <c r="G14" s="70" t="n"/>
      <c r="H14" s="68" t="n"/>
      <c r="I14" s="69" t="n"/>
      <c r="J14" s="69" t="n"/>
      <c r="K14" s="69" t="n"/>
      <c r="L14" s="69" t="n"/>
      <c r="M14" s="70" t="n"/>
      <c r="N14" s="47" t="n"/>
    </row>
    <row r="15" ht="15" customHeight="1">
      <c r="A15" s="47" t="n"/>
      <c r="B15" s="68" t="n"/>
      <c r="C15" s="69" t="n"/>
      <c r="D15" s="69" t="n"/>
      <c r="E15" s="69" t="n"/>
      <c r="F15" s="69" t="n"/>
      <c r="G15" s="70" t="n"/>
      <c r="H15" s="68" t="n"/>
      <c r="I15" s="69" t="n"/>
      <c r="J15" s="69" t="n"/>
      <c r="K15" s="69" t="n"/>
      <c r="L15" s="69" t="n"/>
      <c r="M15" s="70" t="n"/>
      <c r="N15" s="47" t="n"/>
    </row>
    <row r="16" ht="15" customHeight="1">
      <c r="A16" s="47" t="n"/>
      <c r="B16" s="68" t="n"/>
      <c r="C16" s="69" t="n"/>
      <c r="D16" s="69" t="n"/>
      <c r="E16" s="69" t="n"/>
      <c r="F16" s="69" t="n"/>
      <c r="G16" s="70" t="n"/>
      <c r="H16" s="68" t="n"/>
      <c r="I16" s="69" t="n"/>
      <c r="J16" s="69" t="n"/>
      <c r="K16" s="69" t="n"/>
      <c r="L16" s="69" t="n"/>
      <c r="M16" s="70" t="n"/>
      <c r="N16" s="47" t="n"/>
    </row>
    <row r="17" ht="15" customHeight="1">
      <c r="A17" s="47" t="n"/>
      <c r="B17" s="68" t="n"/>
      <c r="C17" s="69" t="n"/>
      <c r="D17" s="69" t="n"/>
      <c r="E17" s="69" t="n"/>
      <c r="F17" s="69" t="n"/>
      <c r="G17" s="70" t="n"/>
      <c r="H17" s="68" t="n"/>
      <c r="I17" s="69" t="n"/>
      <c r="J17" s="69" t="n"/>
      <c r="K17" s="69" t="n"/>
      <c r="L17" s="69" t="n"/>
      <c r="M17" s="70" t="n"/>
      <c r="N17" s="47" t="n"/>
    </row>
    <row r="18" ht="15" customHeight="1">
      <c r="A18" s="47" t="n"/>
      <c r="B18" s="68" t="n"/>
      <c r="C18" s="69" t="n"/>
      <c r="D18" s="69" t="n"/>
      <c r="E18" s="69" t="n"/>
      <c r="F18" s="69" t="n"/>
      <c r="G18" s="70" t="n"/>
      <c r="H18" s="68" t="n"/>
      <c r="I18" s="69" t="n"/>
      <c r="J18" s="69" t="n"/>
      <c r="K18" s="69" t="n"/>
      <c r="L18" s="69" t="n"/>
      <c r="M18" s="70" t="n"/>
      <c r="N18" s="47" t="n"/>
    </row>
    <row r="19" ht="15" customHeight="1">
      <c r="A19" s="47" t="n"/>
      <c r="B19" s="68" t="n"/>
      <c r="C19" s="69" t="n"/>
      <c r="D19" s="69" t="n"/>
      <c r="E19" s="69" t="n"/>
      <c r="F19" s="69" t="n"/>
      <c r="G19" s="70" t="n"/>
      <c r="H19" s="68" t="n"/>
      <c r="I19" s="69" t="n"/>
      <c r="J19" s="69" t="n"/>
      <c r="K19" s="69" t="n"/>
      <c r="L19" s="69" t="n"/>
      <c r="M19" s="70" t="n"/>
      <c r="N19" s="47" t="n"/>
    </row>
    <row r="20" ht="15" customHeight="1">
      <c r="A20" s="47" t="n"/>
      <c r="B20" s="68" t="n"/>
      <c r="C20" s="69" t="n"/>
      <c r="D20" s="69" t="n"/>
      <c r="E20" s="69" t="n"/>
      <c r="F20" s="69" t="n"/>
      <c r="G20" s="70" t="n"/>
      <c r="H20" s="68" t="n"/>
      <c r="I20" s="69" t="n"/>
      <c r="J20" s="69" t="n"/>
      <c r="K20" s="69" t="n"/>
      <c r="L20" s="69" t="n"/>
      <c r="M20" s="70" t="n"/>
      <c r="N20" s="47" t="n"/>
    </row>
    <row r="21" ht="28" customHeight="1">
      <c r="A21" s="47" t="n"/>
      <c r="B21" s="71" t="str">
        <f>"Maior "&amp;"consumo"&amp;": "&amp;INDEX(Analises!$B$8:$B$10,MATCH(MAX(Analises!$D$8:$D$10),Analises!$D$8:$D$10,0))&amp;" ("&amp;FIXED(MAX(Analises!$D$8:$D$10),0)&amp;" un."&amp;")"&amp;CHAR(10)&amp;Analises!B9&amp;" vs "&amp;Analises!B8&amp;": "&amp;IF(ISNUMBER(Analises!F9),IF(Analises!F9&gt;=0,"+","")&amp;ROUND(Analises!F9*100,1)&amp;"%","n/d")&amp;"  ·  "&amp;Analises!B10&amp;" vs "&amp;Analises!B9&amp;": "&amp;IF(ISNUMBER(Analises!F10),IF(Analises!F10&gt;=0,"+","")&amp;ROUND(Analises!F10*100,1)&amp;"%","n/d")</f>
        <v>Maior consumo: Jul/2026 (691 un.)
Jul/2026 vs Jun/2026: +13.7%  ·  Ago/2026 vs Jul/2026: -49.6%</v>
      </c>
      <c r="C21" s="72" t="n"/>
      <c r="D21" s="72" t="n"/>
      <c r="E21" s="72" t="n"/>
      <c r="F21" s="72" t="n"/>
      <c r="G21" s="73" t="n"/>
      <c r="H21" s="71" t="str">
        <f>"Maior "&amp;"custo"&amp;": "&amp;INDEX(Analises!$B$8:$B$10,MATCH(MAX(Analises!$E$8:$E$10),Analises!$E$8:$E$10,0))&amp;" ("&amp;FIXED(MAX(Analises!$E$8:$E$10),2)&amp;")"&amp;CHAR(10)&amp;Analises!B9&amp;" vs "&amp;Analises!B8&amp;": "&amp;IF(ISNUMBER(Analises!G9),IF(Analises!G9&gt;=0,"+","")&amp;ROUND(Analises!G9*100,1)&amp;"%","n/d")&amp;"  ·  "&amp;Analises!B10&amp;" vs "&amp;Analises!B9&amp;": "&amp;IF(ISNUMBER(Analises!G10),IF(Analises!G10&gt;=0,"+","")&amp;ROUND(Analises!G10*100,1)&amp;"%","n/d")</f>
        <v>Maior custo: Jul/2026 (10,933.00)
Jul/2026 vs Jun/2026: +29.3%  ·  Ago/2026 vs Jul/2026: -52.3%</v>
      </c>
      <c r="I21" s="72" t="n"/>
      <c r="J21" s="72" t="n"/>
      <c r="K21" s="72" t="n"/>
      <c r="L21" s="72" t="n"/>
      <c r="M21" s="73" t="n"/>
      <c r="N21" s="47" t="n"/>
    </row>
    <row r="22" ht="8" customHeight="1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</row>
    <row r="23" ht="22" customHeight="1">
      <c r="A23" s="47" t="n"/>
      <c r="B23" s="62" t="inlineStr">
        <is>
          <t>2 · Categorias</t>
        </is>
      </c>
      <c r="C23" s="63" t="n"/>
      <c r="D23" s="63" t="n"/>
      <c r="E23" s="63" t="n"/>
      <c r="F23" s="63" t="n"/>
      <c r="G23" s="63" t="n"/>
      <c r="H23" s="63" t="n"/>
      <c r="I23" s="64" t="inlineStr">
        <is>
          <t>Ordenado do maior para o menor; % sobre o total do período.</t>
        </is>
      </c>
      <c r="J23" s="63" t="n"/>
      <c r="K23" s="63" t="n"/>
      <c r="L23" s="63" t="n"/>
      <c r="M23" s="63" t="n"/>
      <c r="N23" s="47" t="n"/>
    </row>
    <row r="24" ht="20" customHeight="1">
      <c r="A24" s="47" t="n"/>
      <c r="B24" s="65" t="inlineStr">
        <is>
          <t>Categorias por consumo · unidades</t>
        </is>
      </c>
      <c r="C24" s="66" t="n"/>
      <c r="D24" s="66" t="n"/>
      <c r="E24" s="66" t="n"/>
      <c r="F24" s="66" t="n"/>
      <c r="G24" s="67" t="n"/>
      <c r="H24" s="65" t="inlineStr">
        <is>
          <t>Categorias por custo · valor fictício</t>
        </is>
      </c>
      <c r="I24" s="66" t="n"/>
      <c r="J24" s="66" t="n"/>
      <c r="K24" s="66" t="n"/>
      <c r="L24" s="66" t="n"/>
      <c r="M24" s="67" t="n"/>
      <c r="N24" s="47" t="n"/>
    </row>
    <row r="25" ht="15" customHeight="1">
      <c r="A25" s="47" t="n"/>
      <c r="B25" s="68" t="n"/>
      <c r="C25" s="69" t="n"/>
      <c r="D25" s="69" t="n"/>
      <c r="E25" s="69" t="n"/>
      <c r="F25" s="69" t="n"/>
      <c r="G25" s="70" t="n"/>
      <c r="H25" s="68" t="n"/>
      <c r="I25" s="69" t="n"/>
      <c r="J25" s="69" t="n"/>
      <c r="K25" s="69" t="n"/>
      <c r="L25" s="69" t="n"/>
      <c r="M25" s="70" t="n"/>
      <c r="N25" s="47" t="n"/>
    </row>
    <row r="26" ht="15" customHeight="1">
      <c r="A26" s="47" t="n"/>
      <c r="B26" s="68" t="n"/>
      <c r="C26" s="69" t="n"/>
      <c r="D26" s="69" t="n"/>
      <c r="E26" s="69" t="n"/>
      <c r="F26" s="69" t="n"/>
      <c r="G26" s="70" t="n"/>
      <c r="H26" s="68" t="n"/>
      <c r="I26" s="69" t="n"/>
      <c r="J26" s="69" t="n"/>
      <c r="K26" s="69" t="n"/>
      <c r="L26" s="69" t="n"/>
      <c r="M26" s="70" t="n"/>
      <c r="N26" s="47" t="n"/>
    </row>
    <row r="27" ht="15" customHeight="1">
      <c r="A27" s="47" t="n"/>
      <c r="B27" s="68" t="n"/>
      <c r="C27" s="69" t="n"/>
      <c r="D27" s="69" t="n"/>
      <c r="E27" s="69" t="n"/>
      <c r="F27" s="69" t="n"/>
      <c r="G27" s="70" t="n"/>
      <c r="H27" s="68" t="n"/>
      <c r="I27" s="69" t="n"/>
      <c r="J27" s="69" t="n"/>
      <c r="K27" s="69" t="n"/>
      <c r="L27" s="69" t="n"/>
      <c r="M27" s="70" t="n"/>
      <c r="N27" s="47" t="n"/>
    </row>
    <row r="28" ht="15" customHeight="1">
      <c r="A28" s="47" t="n"/>
      <c r="B28" s="68" t="n"/>
      <c r="C28" s="69" t="n"/>
      <c r="D28" s="69" t="n"/>
      <c r="E28" s="69" t="n"/>
      <c r="F28" s="69" t="n"/>
      <c r="G28" s="70" t="n"/>
      <c r="H28" s="68" t="n"/>
      <c r="I28" s="69" t="n"/>
      <c r="J28" s="69" t="n"/>
      <c r="K28" s="69" t="n"/>
      <c r="L28" s="69" t="n"/>
      <c r="M28" s="70" t="n"/>
      <c r="N28" s="47" t="n"/>
    </row>
    <row r="29" ht="15" customHeight="1">
      <c r="A29" s="47" t="n"/>
      <c r="B29" s="68" t="n"/>
      <c r="C29" s="69" t="n"/>
      <c r="D29" s="69" t="n"/>
      <c r="E29" s="69" t="n"/>
      <c r="F29" s="69" t="n"/>
      <c r="G29" s="70" t="n"/>
      <c r="H29" s="68" t="n"/>
      <c r="I29" s="69" t="n"/>
      <c r="J29" s="69" t="n"/>
      <c r="K29" s="69" t="n"/>
      <c r="L29" s="69" t="n"/>
      <c r="M29" s="70" t="n"/>
      <c r="N29" s="47" t="n"/>
    </row>
    <row r="30" ht="15" customHeight="1">
      <c r="A30" s="47" t="n"/>
      <c r="B30" s="68" t="n"/>
      <c r="C30" s="69" t="n"/>
      <c r="D30" s="69" t="n"/>
      <c r="E30" s="69" t="n"/>
      <c r="F30" s="69" t="n"/>
      <c r="G30" s="70" t="n"/>
      <c r="H30" s="68" t="n"/>
      <c r="I30" s="69" t="n"/>
      <c r="J30" s="69" t="n"/>
      <c r="K30" s="69" t="n"/>
      <c r="L30" s="69" t="n"/>
      <c r="M30" s="70" t="n"/>
      <c r="N30" s="47" t="n"/>
    </row>
    <row r="31" ht="15" customHeight="1">
      <c r="A31" s="47" t="n"/>
      <c r="B31" s="68" t="n"/>
      <c r="C31" s="69" t="n"/>
      <c r="D31" s="69" t="n"/>
      <c r="E31" s="69" t="n"/>
      <c r="F31" s="69" t="n"/>
      <c r="G31" s="70" t="n"/>
      <c r="H31" s="68" t="n"/>
      <c r="I31" s="69" t="n"/>
      <c r="J31" s="69" t="n"/>
      <c r="K31" s="69" t="n"/>
      <c r="L31" s="69" t="n"/>
      <c r="M31" s="70" t="n"/>
      <c r="N31" s="47" t="n"/>
    </row>
    <row r="32" ht="15" customHeight="1">
      <c r="A32" s="47" t="n"/>
      <c r="B32" s="68" t="n"/>
      <c r="C32" s="69" t="n"/>
      <c r="D32" s="69" t="n"/>
      <c r="E32" s="69" t="n"/>
      <c r="F32" s="69" t="n"/>
      <c r="G32" s="70" t="n"/>
      <c r="H32" s="68" t="n"/>
      <c r="I32" s="69" t="n"/>
      <c r="J32" s="69" t="n"/>
      <c r="K32" s="69" t="n"/>
      <c r="L32" s="69" t="n"/>
      <c r="M32" s="70" t="n"/>
      <c r="N32" s="47" t="n"/>
    </row>
    <row r="33" ht="15" customHeight="1">
      <c r="A33" s="47" t="n"/>
      <c r="B33" s="68" t="n"/>
      <c r="C33" s="69" t="n"/>
      <c r="D33" s="69" t="n"/>
      <c r="E33" s="69" t="n"/>
      <c r="F33" s="69" t="n"/>
      <c r="G33" s="70" t="n"/>
      <c r="H33" s="68" t="n"/>
      <c r="I33" s="69" t="n"/>
      <c r="J33" s="69" t="n"/>
      <c r="K33" s="69" t="n"/>
      <c r="L33" s="69" t="n"/>
      <c r="M33" s="70" t="n"/>
      <c r="N33" s="47" t="n"/>
    </row>
    <row r="34" ht="28" customHeight="1">
      <c r="A34" s="47" t="n"/>
      <c r="B34" s="71" t="str">
        <f>"Maior consumo: "&amp;Analises!B26&amp;" - "&amp;FIXED(Analises!C26,0)&amp;" un. ("&amp;ROUND(Analises!D26*100,1)&amp;"% do total)"&amp;CHAR(10)&amp;"Menor: "&amp;Analises!B31&amp;" - "&amp;FIXED(Analises!C31,0)&amp;" un. ("&amp;ROUND(Analises!D31*100,1)&amp;"%)"</f>
        <v>Maior consumo: Corte - 940 un. (57.1% do total)
Menor: Ferramentas - 17 un. (1%)</v>
      </c>
      <c r="C34" s="72" t="n"/>
      <c r="D34" s="72" t="n"/>
      <c r="E34" s="72" t="n"/>
      <c r="F34" s="72" t="n"/>
      <c r="G34" s="73" t="n"/>
      <c r="H34" s="71" t="str">
        <f>"Maior custo: "&amp;Analises!G26&amp;" - "&amp;FIXED(Analises!H26,2)&amp;" ("&amp;ROUND(Analises!I26*100,1)&amp;"% do total)"&amp;CHAR(10)&amp;"Menor: "&amp;Analises!G31&amp;" - "&amp;FIXED(Analises!H31,2)&amp;" ("&amp;ROUND(Analises!I31*100,1)&amp;"%)"</f>
        <v>Maior custo: Corte - 7,565.30 (30.7% do total)
Menor: Ferramentas - 370.00 (1.5%)</v>
      </c>
      <c r="I34" s="72" t="n"/>
      <c r="J34" s="72" t="n"/>
      <c r="K34" s="72" t="n"/>
      <c r="L34" s="72" t="n"/>
      <c r="M34" s="73" t="n"/>
      <c r="N34" s="47" t="n"/>
    </row>
    <row r="35" ht="8" customHeight="1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</row>
    <row r="36" ht="22" customHeight="1">
      <c r="A36" s="47" t="n"/>
      <c r="B36" s="62" t="inlineStr">
        <is>
          <t>3 · Centros de trabalho</t>
        </is>
      </c>
      <c r="C36" s="63" t="n"/>
      <c r="D36" s="63" t="n"/>
      <c r="E36" s="63" t="n"/>
      <c r="F36" s="63" t="n"/>
      <c r="G36" s="63" t="n"/>
      <c r="H36" s="63" t="n"/>
      <c r="I36" s="64" t="inlineStr">
        <is>
          <t>Ordenado do maior para o menor; % sobre o total do período.</t>
        </is>
      </c>
      <c r="J36" s="63" t="n"/>
      <c r="K36" s="63" t="n"/>
      <c r="L36" s="63" t="n"/>
      <c r="M36" s="63" t="n"/>
      <c r="N36" s="47" t="n"/>
    </row>
    <row r="37" ht="20" customHeight="1">
      <c r="A37" s="47" t="n"/>
      <c r="B37" s="65" t="inlineStr">
        <is>
          <t>Centros de trabalho por consumo · unidades</t>
        </is>
      </c>
      <c r="C37" s="66" t="n"/>
      <c r="D37" s="66" t="n"/>
      <c r="E37" s="66" t="n"/>
      <c r="F37" s="66" t="n"/>
      <c r="G37" s="67" t="n"/>
      <c r="H37" s="65" t="inlineStr">
        <is>
          <t>Centros de trabalho por custo · valor fictício</t>
        </is>
      </c>
      <c r="I37" s="66" t="n"/>
      <c r="J37" s="66" t="n"/>
      <c r="K37" s="66" t="n"/>
      <c r="L37" s="66" t="n"/>
      <c r="M37" s="67" t="n"/>
      <c r="N37" s="47" t="n"/>
    </row>
    <row r="38" ht="15" customHeight="1">
      <c r="A38" s="47" t="n"/>
      <c r="B38" s="68" t="n"/>
      <c r="C38" s="69" t="n"/>
      <c r="D38" s="69" t="n"/>
      <c r="E38" s="69" t="n"/>
      <c r="F38" s="69" t="n"/>
      <c r="G38" s="70" t="n"/>
      <c r="H38" s="68" t="n"/>
      <c r="I38" s="69" t="n"/>
      <c r="J38" s="69" t="n"/>
      <c r="K38" s="69" t="n"/>
      <c r="L38" s="69" t="n"/>
      <c r="M38" s="70" t="n"/>
      <c r="N38" s="47" t="n"/>
    </row>
    <row r="39" ht="15" customHeight="1">
      <c r="A39" s="47" t="n"/>
      <c r="B39" s="68" t="n"/>
      <c r="C39" s="69" t="n"/>
      <c r="D39" s="69" t="n"/>
      <c r="E39" s="69" t="n"/>
      <c r="F39" s="69" t="n"/>
      <c r="G39" s="70" t="n"/>
      <c r="H39" s="68" t="n"/>
      <c r="I39" s="69" t="n"/>
      <c r="J39" s="69" t="n"/>
      <c r="K39" s="69" t="n"/>
      <c r="L39" s="69" t="n"/>
      <c r="M39" s="70" t="n"/>
      <c r="N39" s="47" t="n"/>
    </row>
    <row r="40" ht="15" customHeight="1">
      <c r="A40" s="47" t="n"/>
      <c r="B40" s="68" t="n"/>
      <c r="C40" s="69" t="n"/>
      <c r="D40" s="69" t="n"/>
      <c r="E40" s="69" t="n"/>
      <c r="F40" s="69" t="n"/>
      <c r="G40" s="70" t="n"/>
      <c r="H40" s="68" t="n"/>
      <c r="I40" s="69" t="n"/>
      <c r="J40" s="69" t="n"/>
      <c r="K40" s="69" t="n"/>
      <c r="L40" s="69" t="n"/>
      <c r="M40" s="70" t="n"/>
      <c r="N40" s="47" t="n"/>
    </row>
    <row r="41" ht="15" customHeight="1">
      <c r="A41" s="47" t="n"/>
      <c r="B41" s="68" t="n"/>
      <c r="C41" s="69" t="n"/>
      <c r="D41" s="69" t="n"/>
      <c r="E41" s="69" t="n"/>
      <c r="F41" s="69" t="n"/>
      <c r="G41" s="70" t="n"/>
      <c r="H41" s="68" t="n"/>
      <c r="I41" s="69" t="n"/>
      <c r="J41" s="69" t="n"/>
      <c r="K41" s="69" t="n"/>
      <c r="L41" s="69" t="n"/>
      <c r="M41" s="70" t="n"/>
      <c r="N41" s="47" t="n"/>
    </row>
    <row r="42" ht="15" customHeight="1">
      <c r="A42" s="47" t="n"/>
      <c r="B42" s="68" t="n"/>
      <c r="C42" s="69" t="n"/>
      <c r="D42" s="69" t="n"/>
      <c r="E42" s="69" t="n"/>
      <c r="F42" s="69" t="n"/>
      <c r="G42" s="70" t="n"/>
      <c r="H42" s="68" t="n"/>
      <c r="I42" s="69" t="n"/>
      <c r="J42" s="69" t="n"/>
      <c r="K42" s="69" t="n"/>
      <c r="L42" s="69" t="n"/>
      <c r="M42" s="70" t="n"/>
      <c r="N42" s="47" t="n"/>
    </row>
    <row r="43" ht="15" customHeight="1">
      <c r="A43" s="47" t="n"/>
      <c r="B43" s="68" t="n"/>
      <c r="C43" s="69" t="n"/>
      <c r="D43" s="69" t="n"/>
      <c r="E43" s="69" t="n"/>
      <c r="F43" s="69" t="n"/>
      <c r="G43" s="70" t="n"/>
      <c r="H43" s="68" t="n"/>
      <c r="I43" s="69" t="n"/>
      <c r="J43" s="69" t="n"/>
      <c r="K43" s="69" t="n"/>
      <c r="L43" s="69" t="n"/>
      <c r="M43" s="70" t="n"/>
      <c r="N43" s="47" t="n"/>
    </row>
    <row r="44" ht="15" customHeight="1">
      <c r="A44" s="47" t="n"/>
      <c r="B44" s="68" t="n"/>
      <c r="C44" s="69" t="n"/>
      <c r="D44" s="69" t="n"/>
      <c r="E44" s="69" t="n"/>
      <c r="F44" s="69" t="n"/>
      <c r="G44" s="70" t="n"/>
      <c r="H44" s="68" t="n"/>
      <c r="I44" s="69" t="n"/>
      <c r="J44" s="69" t="n"/>
      <c r="K44" s="69" t="n"/>
      <c r="L44" s="69" t="n"/>
      <c r="M44" s="70" t="n"/>
      <c r="N44" s="47" t="n"/>
    </row>
    <row r="45" ht="15" customHeight="1">
      <c r="A45" s="47" t="n"/>
      <c r="B45" s="68" t="n"/>
      <c r="C45" s="69" t="n"/>
      <c r="D45" s="69" t="n"/>
      <c r="E45" s="69" t="n"/>
      <c r="F45" s="69" t="n"/>
      <c r="G45" s="70" t="n"/>
      <c r="H45" s="68" t="n"/>
      <c r="I45" s="69" t="n"/>
      <c r="J45" s="69" t="n"/>
      <c r="K45" s="69" t="n"/>
      <c r="L45" s="69" t="n"/>
      <c r="M45" s="70" t="n"/>
      <c r="N45" s="47" t="n"/>
    </row>
    <row r="46" ht="28" customHeight="1">
      <c r="A46" s="47" t="n"/>
      <c r="B46" s="71" t="str">
        <f>"Maior consumo: "&amp;Analises!B45&amp;" - "&amp;FIXED(Analises!C45,0)&amp;" un. ("&amp;ROUND(Analises!D45*100,1)&amp;"% do total)"&amp;CHAR(10)&amp;"Menor: "&amp;Analises!B49&amp;" - "&amp;FIXED(Analises!C49,0)&amp;" un. ("&amp;ROUND(Analises!D49*100,1)&amp;"%)"</f>
        <v>Maior consumo: MECANICA - 423 un. (25.7% do total)
Menor: ELETRICA - 39 un. (2.4%)</v>
      </c>
      <c r="C46" s="72" t="n"/>
      <c r="D46" s="72" t="n"/>
      <c r="E46" s="72" t="n"/>
      <c r="F46" s="72" t="n"/>
      <c r="G46" s="73" t="n"/>
      <c r="H46" s="71" t="str">
        <f>"Maior custo: "&amp;Analises!G45&amp;" - "&amp;FIXED(Analises!H45,2)&amp;" ("&amp;ROUND(Analises!I45*100,1)&amp;"% do total)"&amp;CHAR(10)&amp;"Menor: "&amp;Analises!G49&amp;" - "&amp;FIXED(Analises!H49,2)&amp;" ("&amp;ROUND(Analises!I49*100,1)&amp;"%)"</f>
        <v>Maior custo: MANUTENCAO - 6,402.20 (26% do total)
Menor: ELETRICA - 3,748.00 (15.2%)</v>
      </c>
      <c r="I46" s="72" t="n"/>
      <c r="J46" s="72" t="n"/>
      <c r="K46" s="72" t="n"/>
      <c r="L46" s="72" t="n"/>
      <c r="M46" s="73" t="n"/>
      <c r="N46" s="47" t="n"/>
    </row>
    <row r="47" ht="8" customHeight="1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</row>
    <row r="48" ht="22" customHeight="1">
      <c r="A48" s="47" t="n"/>
      <c r="B48" s="62" t="inlineStr">
        <is>
          <t>4 · Materiais · Pareto</t>
        </is>
      </c>
      <c r="C48" s="63" t="n"/>
      <c r="D48" s="63" t="n"/>
      <c r="E48" s="63" t="n"/>
      <c r="F48" s="63" t="n"/>
      <c r="G48" s="63" t="n"/>
      <c r="H48" s="63" t="n"/>
      <c r="I48" s="64" t="inlineStr">
        <is>
          <t>Colunas = valor do material; linha = % acumulado; tracejado = limite (aba Parametros).</t>
        </is>
      </c>
      <c r="J48" s="63" t="n"/>
      <c r="K48" s="63" t="n"/>
      <c r="L48" s="63" t="n"/>
      <c r="M48" s="63" t="n"/>
      <c r="N48" s="47" t="n"/>
    </row>
    <row r="49" ht="20" customHeight="1">
      <c r="A49" s="47" t="n"/>
      <c r="B49" s="65" t="inlineStr">
        <is>
          <t>Pareto de custo por material · valor fictício</t>
        </is>
      </c>
      <c r="C49" s="66" t="n"/>
      <c r="D49" s="66" t="n"/>
      <c r="E49" s="66" t="n"/>
      <c r="F49" s="66" t="n"/>
      <c r="G49" s="67" t="n"/>
      <c r="H49" s="65" t="inlineStr">
        <is>
          <t>Pareto de consumo por material · unidades</t>
        </is>
      </c>
      <c r="I49" s="66" t="n"/>
      <c r="J49" s="66" t="n"/>
      <c r="K49" s="66" t="n"/>
      <c r="L49" s="66" t="n"/>
      <c r="M49" s="67" t="n"/>
      <c r="N49" s="47" t="n"/>
    </row>
    <row r="50" ht="15" customHeight="1">
      <c r="A50" s="47" t="n"/>
      <c r="B50" s="68" t="n"/>
      <c r="C50" s="69" t="n"/>
      <c r="D50" s="69" t="n"/>
      <c r="E50" s="69" t="n"/>
      <c r="F50" s="69" t="n"/>
      <c r="G50" s="70" t="n"/>
      <c r="H50" s="68" t="n"/>
      <c r="I50" s="69" t="n"/>
      <c r="J50" s="69" t="n"/>
      <c r="K50" s="69" t="n"/>
      <c r="L50" s="69" t="n"/>
      <c r="M50" s="70" t="n"/>
      <c r="N50" s="47" t="n"/>
    </row>
    <row r="51" ht="15" customHeight="1">
      <c r="A51" s="47" t="n"/>
      <c r="B51" s="68" t="n"/>
      <c r="C51" s="69" t="n"/>
      <c r="D51" s="69" t="n"/>
      <c r="E51" s="69" t="n"/>
      <c r="F51" s="69" t="n"/>
      <c r="G51" s="70" t="n"/>
      <c r="H51" s="68" t="n"/>
      <c r="I51" s="69" t="n"/>
      <c r="J51" s="69" t="n"/>
      <c r="K51" s="69" t="n"/>
      <c r="L51" s="69" t="n"/>
      <c r="M51" s="70" t="n"/>
      <c r="N51" s="47" t="n"/>
    </row>
    <row r="52" ht="15" customHeight="1">
      <c r="A52" s="47" t="n"/>
      <c r="B52" s="68" t="n"/>
      <c r="C52" s="69" t="n"/>
      <c r="D52" s="69" t="n"/>
      <c r="E52" s="69" t="n"/>
      <c r="F52" s="69" t="n"/>
      <c r="G52" s="70" t="n"/>
      <c r="H52" s="68" t="n"/>
      <c r="I52" s="69" t="n"/>
      <c r="J52" s="69" t="n"/>
      <c r="K52" s="69" t="n"/>
      <c r="L52" s="69" t="n"/>
      <c r="M52" s="70" t="n"/>
      <c r="N52" s="47" t="n"/>
    </row>
    <row r="53" ht="15" customHeight="1">
      <c r="A53" s="47" t="n"/>
      <c r="B53" s="68" t="n"/>
      <c r="C53" s="69" t="n"/>
      <c r="D53" s="69" t="n"/>
      <c r="E53" s="69" t="n"/>
      <c r="F53" s="69" t="n"/>
      <c r="G53" s="70" t="n"/>
      <c r="H53" s="68" t="n"/>
      <c r="I53" s="69" t="n"/>
      <c r="J53" s="69" t="n"/>
      <c r="K53" s="69" t="n"/>
      <c r="L53" s="69" t="n"/>
      <c r="M53" s="70" t="n"/>
      <c r="N53" s="47" t="n"/>
    </row>
    <row r="54" ht="15" customHeight="1">
      <c r="A54" s="47" t="n"/>
      <c r="B54" s="68" t="n"/>
      <c r="C54" s="69" t="n"/>
      <c r="D54" s="69" t="n"/>
      <c r="E54" s="69" t="n"/>
      <c r="F54" s="69" t="n"/>
      <c r="G54" s="70" t="n"/>
      <c r="H54" s="68" t="n"/>
      <c r="I54" s="69" t="n"/>
      <c r="J54" s="69" t="n"/>
      <c r="K54" s="69" t="n"/>
      <c r="L54" s="69" t="n"/>
      <c r="M54" s="70" t="n"/>
      <c r="N54" s="47" t="n"/>
    </row>
    <row r="55" ht="15" customHeight="1">
      <c r="A55" s="47" t="n"/>
      <c r="B55" s="68" t="n"/>
      <c r="C55" s="69" t="n"/>
      <c r="D55" s="69" t="n"/>
      <c r="E55" s="69" t="n"/>
      <c r="F55" s="69" t="n"/>
      <c r="G55" s="70" t="n"/>
      <c r="H55" s="68" t="n"/>
      <c r="I55" s="69" t="n"/>
      <c r="J55" s="69" t="n"/>
      <c r="K55" s="69" t="n"/>
      <c r="L55" s="69" t="n"/>
      <c r="M55" s="70" t="n"/>
      <c r="N55" s="47" t="n"/>
    </row>
    <row r="56" ht="15" customHeight="1">
      <c r="A56" s="47" t="n"/>
      <c r="B56" s="68" t="n"/>
      <c r="C56" s="69" t="n"/>
      <c r="D56" s="69" t="n"/>
      <c r="E56" s="69" t="n"/>
      <c r="F56" s="69" t="n"/>
      <c r="G56" s="70" t="n"/>
      <c r="H56" s="68" t="n"/>
      <c r="I56" s="69" t="n"/>
      <c r="J56" s="69" t="n"/>
      <c r="K56" s="69" t="n"/>
      <c r="L56" s="69" t="n"/>
      <c r="M56" s="70" t="n"/>
      <c r="N56" s="47" t="n"/>
    </row>
    <row r="57" ht="15" customHeight="1">
      <c r="A57" s="47" t="n"/>
      <c r="B57" s="68" t="n"/>
      <c r="C57" s="69" t="n"/>
      <c r="D57" s="69" t="n"/>
      <c r="E57" s="69" t="n"/>
      <c r="F57" s="69" t="n"/>
      <c r="G57" s="70" t="n"/>
      <c r="H57" s="68" t="n"/>
      <c r="I57" s="69" t="n"/>
      <c r="J57" s="69" t="n"/>
      <c r="K57" s="69" t="n"/>
      <c r="L57" s="69" t="n"/>
      <c r="M57" s="70" t="n"/>
      <c r="N57" s="47" t="n"/>
    </row>
    <row r="58" ht="15" customHeight="1">
      <c r="A58" s="47" t="n"/>
      <c r="B58" s="68" t="n"/>
      <c r="C58" s="69" t="n"/>
      <c r="D58" s="69" t="n"/>
      <c r="E58" s="69" t="n"/>
      <c r="F58" s="69" t="n"/>
      <c r="G58" s="70" t="n"/>
      <c r="H58" s="68" t="n"/>
      <c r="I58" s="69" t="n"/>
      <c r="J58" s="69" t="n"/>
      <c r="K58" s="69" t="n"/>
      <c r="L58" s="69" t="n"/>
      <c r="M58" s="70" t="n"/>
      <c r="N58" s="47" t="n"/>
    </row>
    <row r="59" ht="15" customHeight="1">
      <c r="A59" s="47" t="n"/>
      <c r="B59" s="68" t="n"/>
      <c r="C59" s="69" t="n"/>
      <c r="D59" s="69" t="n"/>
      <c r="E59" s="69" t="n"/>
      <c r="F59" s="69" t="n"/>
      <c r="G59" s="70" t="n"/>
      <c r="H59" s="68" t="n"/>
      <c r="I59" s="69" t="n"/>
      <c r="J59" s="69" t="n"/>
      <c r="K59" s="69" t="n"/>
      <c r="L59" s="69" t="n"/>
      <c r="M59" s="70" t="n"/>
      <c r="N59" s="47" t="n"/>
    </row>
    <row r="60" ht="15" customHeight="1">
      <c r="A60" s="47" t="n"/>
      <c r="B60" s="68" t="n"/>
      <c r="C60" s="69" t="n"/>
      <c r="D60" s="69" t="n"/>
      <c r="E60" s="69" t="n"/>
      <c r="F60" s="69" t="n"/>
      <c r="G60" s="70" t="n"/>
      <c r="H60" s="68" t="n"/>
      <c r="I60" s="69" t="n"/>
      <c r="J60" s="69" t="n"/>
      <c r="K60" s="69" t="n"/>
      <c r="L60" s="69" t="n"/>
      <c r="M60" s="70" t="n"/>
      <c r="N60" s="47" t="n"/>
    </row>
    <row r="61" ht="15" customHeight="1">
      <c r="A61" s="47" t="n"/>
      <c r="B61" s="68" t="n"/>
      <c r="C61" s="69" t="n"/>
      <c r="D61" s="69" t="n"/>
      <c r="E61" s="69" t="n"/>
      <c r="F61" s="69" t="n"/>
      <c r="G61" s="70" t="n"/>
      <c r="H61" s="68" t="n"/>
      <c r="I61" s="69" t="n"/>
      <c r="J61" s="69" t="n"/>
      <c r="K61" s="69" t="n"/>
      <c r="L61" s="69" t="n"/>
      <c r="M61" s="70" t="n"/>
      <c r="N61" s="47" t="n"/>
    </row>
    <row r="62" ht="15" customHeight="1">
      <c r="A62" s="47" t="n"/>
      <c r="B62" s="68" t="n"/>
      <c r="C62" s="69" t="n"/>
      <c r="D62" s="69" t="n"/>
      <c r="E62" s="69" t="n"/>
      <c r="F62" s="69" t="n"/>
      <c r="G62" s="70" t="n"/>
      <c r="H62" s="68" t="n"/>
      <c r="I62" s="69" t="n"/>
      <c r="J62" s="69" t="n"/>
      <c r="K62" s="69" t="n"/>
      <c r="L62" s="69" t="n"/>
      <c r="M62" s="70" t="n"/>
      <c r="N62" s="47" t="n"/>
    </row>
    <row r="63" ht="15" customHeight="1">
      <c r="A63" s="47" t="n"/>
      <c r="B63" s="68" t="n"/>
      <c r="C63" s="69" t="n"/>
      <c r="D63" s="69" t="n"/>
      <c r="E63" s="69" t="n"/>
      <c r="F63" s="69" t="n"/>
      <c r="G63" s="70" t="n"/>
      <c r="H63" s="68" t="n"/>
      <c r="I63" s="69" t="n"/>
      <c r="J63" s="69" t="n"/>
      <c r="K63" s="69" t="n"/>
      <c r="L63" s="69" t="n"/>
      <c r="M63" s="70" t="n"/>
      <c r="N63" s="47" t="n"/>
    </row>
    <row r="64" ht="15" customHeight="1">
      <c r="A64" s="47" t="n"/>
      <c r="B64" s="68" t="n"/>
      <c r="C64" s="69" t="n"/>
      <c r="D64" s="69" t="n"/>
      <c r="E64" s="69" t="n"/>
      <c r="F64" s="69" t="n"/>
      <c r="G64" s="70" t="n"/>
      <c r="H64" s="68" t="n"/>
      <c r="I64" s="69" t="n"/>
      <c r="J64" s="69" t="n"/>
      <c r="K64" s="69" t="n"/>
      <c r="L64" s="69" t="n"/>
      <c r="M64" s="70" t="n"/>
      <c r="N64" s="47" t="n"/>
    </row>
    <row r="65" ht="15" customHeight="1">
      <c r="A65" s="47" t="n"/>
      <c r="B65" s="68" t="n"/>
      <c r="C65" s="69" t="n"/>
      <c r="D65" s="69" t="n"/>
      <c r="E65" s="69" t="n"/>
      <c r="F65" s="69" t="n"/>
      <c r="G65" s="70" t="n"/>
      <c r="H65" s="68" t="n"/>
      <c r="I65" s="69" t="n"/>
      <c r="J65" s="69" t="n"/>
      <c r="K65" s="69" t="n"/>
      <c r="L65" s="69" t="n"/>
      <c r="M65" s="70" t="n"/>
      <c r="N65" s="47" t="n"/>
    </row>
    <row r="66" ht="15" customHeight="1">
      <c r="A66" s="47" t="n"/>
      <c r="B66" s="68" t="n"/>
      <c r="C66" s="69" t="n"/>
      <c r="D66" s="69" t="n"/>
      <c r="E66" s="69" t="n"/>
      <c r="F66" s="69" t="n"/>
      <c r="G66" s="70" t="n"/>
      <c r="H66" s="68" t="n"/>
      <c r="I66" s="69" t="n"/>
      <c r="J66" s="69" t="n"/>
      <c r="K66" s="69" t="n"/>
      <c r="L66" s="69" t="n"/>
      <c r="M66" s="70" t="n"/>
      <c r="N66" s="47" t="n"/>
    </row>
    <row r="67" ht="15" customHeight="1">
      <c r="A67" s="47" t="n"/>
      <c r="B67" s="68" t="n"/>
      <c r="C67" s="69" t="n"/>
      <c r="D67" s="69" t="n"/>
      <c r="E67" s="69" t="n"/>
      <c r="F67" s="69" t="n"/>
      <c r="G67" s="70" t="n"/>
      <c r="H67" s="68" t="n"/>
      <c r="I67" s="69" t="n"/>
      <c r="J67" s="69" t="n"/>
      <c r="K67" s="69" t="n"/>
      <c r="L67" s="69" t="n"/>
      <c r="M67" s="70" t="n"/>
      <c r="N67" s="47" t="n"/>
    </row>
    <row r="68" ht="15" customHeight="1">
      <c r="A68" s="47" t="n"/>
      <c r="B68" s="74" t="n"/>
      <c r="C68" s="75" t="n"/>
      <c r="D68" s="75" t="n"/>
      <c r="E68" s="75" t="n"/>
      <c r="F68" s="75" t="n"/>
      <c r="G68" s="76" t="n"/>
      <c r="H68" s="74" t="n"/>
      <c r="I68" s="75" t="n"/>
      <c r="J68" s="75" t="n"/>
      <c r="K68" s="75" t="n"/>
      <c r="L68" s="75" t="n"/>
      <c r="M68" s="76" t="n"/>
      <c r="N68" s="47" t="n"/>
    </row>
    <row r="69" ht="8" customHeight="1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</row>
    <row r="70" ht="18" customHeight="1">
      <c r="A70" s="47" t="n"/>
      <c r="B70" s="77" t="str">
        <f>Analises!A129</f>
        <v>Materiais que somam 80% do custo</v>
      </c>
      <c r="C70" s="51" t="n"/>
      <c r="D70" s="77" t="str">
        <f>"Custo · "&amp;pTopA&amp;" maiores materiais"</f>
        <v>Custo · 3 maiores materiais</v>
      </c>
      <c r="E70" s="51" t="n"/>
      <c r="F70" s="77" t="str">
        <f>"Custo · "&amp;pTopB&amp;" maiores materiais"</f>
        <v>Custo · 5 maiores materiais</v>
      </c>
      <c r="G70" s="51" t="n"/>
      <c r="H70" s="78" t="str">
        <f>Analises!A133</f>
        <v>Materiais que somam 80% das unidades</v>
      </c>
      <c r="I70" s="49" t="n"/>
      <c r="J70" s="78" t="str">
        <f>"Consumo · "&amp;pTopA&amp;" maiores materiais"</f>
        <v>Consumo · 3 maiores materiais</v>
      </c>
      <c r="K70" s="49" t="n"/>
      <c r="L70" s="78" t="str">
        <f>"Consumo · "&amp;pTopB&amp;" maiores materiais"</f>
        <v>Consumo · 5 maiores materiais</v>
      </c>
      <c r="M70" s="49" t="n"/>
      <c r="N70" s="47" t="n"/>
    </row>
    <row r="71" ht="32" customHeight="1">
      <c r="A71" s="47" t="n"/>
      <c r="B71" s="79" t="str">
        <f>Analises!B129&amp;" de "&amp;Indicadores!$B$9</f>
        <v>9 de 20</v>
      </c>
      <c r="C71" s="59" t="n"/>
      <c r="D71" s="80">
        <f>Analises!B131</f>
        <v>0.416086189659517</v>
      </c>
      <c r="E71" s="59" t="n"/>
      <c r="F71" s="80">
        <f>Analises!B132</f>
        <v>0.597796490315449</v>
      </c>
      <c r="G71" s="59" t="n"/>
      <c r="H71" s="79" t="str">
        <f>Analises!B133&amp;" de "&amp;Indicadores!$B$9</f>
        <v>4 de 20</v>
      </c>
      <c r="I71" s="59" t="n"/>
      <c r="J71" s="80">
        <f>Analises!B135</f>
        <v>0.703703703703704</v>
      </c>
      <c r="K71" s="59" t="n"/>
      <c r="L71" s="80">
        <f>Analises!B136</f>
        <v>0.868245294474803</v>
      </c>
      <c r="M71" s="59" t="n"/>
      <c r="N71" s="47" t="n"/>
    </row>
    <row r="72" ht="26" customHeight="1">
      <c r="A72" s="47" t="n"/>
      <c r="B72" s="81" t="str">
        <f>ROUND(Analises!B130*100,0)&amp;"% dos materiais movimentados"</f>
        <v>45% dos materiais movimentados</v>
      </c>
      <c r="C72" s="59" t="n"/>
      <c r="D72" s="81" t="str">
        <f>Analises!C131&amp;" é o maior em custo"</f>
        <v>Disco de Corte 4,5 pol é o maior em custo</v>
      </c>
      <c r="E72" s="59" t="n"/>
      <c r="F72" s="81" t="str">
        <f>"do custo estimado total de "&amp;FIXED(Indicadores!$B$7,2)</f>
        <v>do custo estimado total de 24,606.20</v>
      </c>
      <c r="G72" s="59" t="n"/>
      <c r="H72" s="81" t="str">
        <f>ROUND(Analises!B134*100,0)&amp;"% dos materiais movimentados"</f>
        <v>20% dos materiais movimentados</v>
      </c>
      <c r="I72" s="59" t="n"/>
      <c r="J72" s="81" t="str">
        <f>Analises!C135&amp;" é o maior em unidades"</f>
        <v>Disco de Corte 4,5 pol é o maior em unidades</v>
      </c>
      <c r="K72" s="59" t="n"/>
      <c r="L72" s="81" t="str">
        <f>"das "&amp;FIXED(Indicadores!$B$6,0)&amp;" unidades consumidas"</f>
        <v>das 1,647 unidades consumidas</v>
      </c>
      <c r="M72" s="59" t="n"/>
      <c r="N72" s="47" t="n"/>
    </row>
    <row r="73" ht="8" customHeight="1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</row>
    <row r="74" ht="22" customHeight="1">
      <c r="A74" s="47" t="n"/>
      <c r="B74" s="62" t="inlineStr">
        <is>
          <t>5 · Estoque e criticidade · o que precisa de atenção</t>
        </is>
      </c>
      <c r="C74" s="63" t="n"/>
      <c r="D74" s="63" t="n"/>
      <c r="E74" s="63" t="n"/>
      <c r="F74" s="63" t="n"/>
      <c r="G74" s="63" t="n"/>
      <c r="H74" s="63" t="n"/>
      <c r="I74" s="64" t="inlineStr">
        <is>
          <t>Regra do estado atual (não é previsão); parâmetros na aba Parametros.</t>
        </is>
      </c>
      <c r="J74" s="63" t="n"/>
      <c r="K74" s="63" t="n"/>
      <c r="L74" s="63" t="n"/>
      <c r="M74" s="63" t="n"/>
      <c r="N74" s="47" t="n"/>
    </row>
    <row r="75" ht="20" customHeight="1">
      <c r="A75" s="47" t="n"/>
      <c r="B75" s="65" t="inlineStr">
        <is>
          <t>Fila de atenção · itens em REPOR e ATENÇÃO</t>
        </is>
      </c>
      <c r="C75" s="66" t="n"/>
      <c r="D75" s="66" t="n"/>
      <c r="E75" s="66" t="n"/>
      <c r="F75" s="66" t="n"/>
      <c r="G75" s="67" t="n"/>
      <c r="H75" s="65" t="inlineStr">
        <is>
          <t>Estoque atual × mínimo · itens da fila</t>
        </is>
      </c>
      <c r="I75" s="66" t="n"/>
      <c r="J75" s="66" t="n"/>
      <c r="K75" s="66" t="n"/>
      <c r="L75" s="66" t="n"/>
      <c r="M75" s="67" t="n"/>
      <c r="N75" s="47" t="n"/>
    </row>
    <row r="76" ht="20" customHeight="1">
      <c r="A76" s="47" t="n"/>
      <c r="B76" s="82" t="inlineStr">
        <is>
          <t>Material</t>
        </is>
      </c>
      <c r="C76" s="83" t="n"/>
      <c r="D76" s="84" t="inlineStr">
        <is>
          <t>Criticidade</t>
        </is>
      </c>
      <c r="E76" s="84" t="inlineStr">
        <is>
          <t>Atual</t>
        </is>
      </c>
      <c r="F76" s="84" t="inlineStr">
        <is>
          <t>Mínimo</t>
        </is>
      </c>
      <c r="G76" s="85" t="inlineStr">
        <is>
          <t>Status</t>
        </is>
      </c>
      <c r="H76" s="68" t="n"/>
      <c r="I76" s="69" t="n"/>
      <c r="J76" s="69" t="n"/>
      <c r="K76" s="69" t="n"/>
      <c r="L76" s="69" t="n"/>
      <c r="M76" s="70" t="n"/>
      <c r="N76" s="47" t="n"/>
    </row>
    <row r="77" ht="17" customHeight="1">
      <c r="A77" s="47" t="n"/>
      <c r="B77" s="86" t="str">
        <f>Analises!B201</f>
        <v>Eletrodo Revestido 2,5 mm</v>
      </c>
      <c r="C77" s="87" t="n"/>
      <c r="D77" s="88" t="str">
        <f>Analises!C201</f>
        <v>Alta</v>
      </c>
      <c r="E77" s="89">
        <f>Analises!D201</f>
        <v>7</v>
      </c>
      <c r="F77" s="89">
        <f>Analises!E201</f>
        <v>12</v>
      </c>
      <c r="G77" s="90" t="str">
        <f>Analises!F201</f>
        <v>REPOR</v>
      </c>
      <c r="H77" s="68" t="n"/>
      <c r="I77" s="69" t="n"/>
      <c r="J77" s="69" t="n"/>
      <c r="K77" s="69" t="n"/>
      <c r="L77" s="69" t="n"/>
      <c r="M77" s="70" t="n"/>
      <c r="N77" s="47" t="n"/>
    </row>
    <row r="78" ht="17" customHeight="1">
      <c r="A78" s="47" t="n"/>
      <c r="B78" s="86" t="str">
        <f>Analises!B202</f>
        <v>Disjuntor Tripolar 32 A</v>
      </c>
      <c r="C78" s="87" t="n"/>
      <c r="D78" s="88" t="str">
        <f>Analises!C202</f>
        <v>Alta</v>
      </c>
      <c r="E78" s="89">
        <f>Analises!D202</f>
        <v>3</v>
      </c>
      <c r="F78" s="89">
        <f>Analises!E202</f>
        <v>4</v>
      </c>
      <c r="G78" s="90" t="str">
        <f>Analises!F202</f>
        <v>REPOR</v>
      </c>
      <c r="H78" s="68" t="n"/>
      <c r="I78" s="69" t="n"/>
      <c r="J78" s="69" t="n"/>
      <c r="K78" s="69" t="n"/>
      <c r="L78" s="69" t="n"/>
      <c r="M78" s="70" t="n"/>
      <c r="N78" s="47" t="n"/>
    </row>
    <row r="79" ht="17" customHeight="1">
      <c r="A79" s="47" t="n"/>
      <c r="B79" s="86" t="str">
        <f>Analises!B203</f>
        <v>Luva de Raspa</v>
      </c>
      <c r="C79" s="87" t="n"/>
      <c r="D79" s="88" t="str">
        <f>Analises!C203</f>
        <v>Média</v>
      </c>
      <c r="E79" s="89">
        <f>Analises!D203</f>
        <v>22</v>
      </c>
      <c r="F79" s="89">
        <f>Analises!E203</f>
        <v>30</v>
      </c>
      <c r="G79" s="90" t="str">
        <f>Analises!F203</f>
        <v>REPOR</v>
      </c>
      <c r="H79" s="68" t="n"/>
      <c r="I79" s="69" t="n"/>
      <c r="J79" s="69" t="n"/>
      <c r="K79" s="69" t="n"/>
      <c r="L79" s="69" t="n"/>
      <c r="M79" s="70" t="n"/>
      <c r="N79" s="47" t="n"/>
    </row>
    <row r="80" ht="17" customHeight="1">
      <c r="A80" s="47" t="n"/>
      <c r="B80" s="86" t="str">
        <f>Analises!B204</f>
        <v>Lâmina de Serra Sabre</v>
      </c>
      <c r="C80" s="87" t="n"/>
      <c r="D80" s="88" t="str">
        <f>Analises!C204</f>
        <v>Média</v>
      </c>
      <c r="E80" s="89">
        <f>Analises!D204</f>
        <v>5</v>
      </c>
      <c r="F80" s="89">
        <f>Analises!E204</f>
        <v>6</v>
      </c>
      <c r="G80" s="90" t="str">
        <f>Analises!F204</f>
        <v>REPOR</v>
      </c>
      <c r="H80" s="68" t="n"/>
      <c r="I80" s="69" t="n"/>
      <c r="J80" s="69" t="n"/>
      <c r="K80" s="69" t="n"/>
      <c r="L80" s="69" t="n"/>
      <c r="M80" s="70" t="n"/>
      <c r="N80" s="47" t="n"/>
    </row>
    <row r="81" ht="17" customHeight="1">
      <c r="A81" s="47" t="n"/>
      <c r="B81" s="86" t="str">
        <f>Analises!B205</f>
        <v>Disco Flap 4,5 pol Grão 60</v>
      </c>
      <c r="C81" s="87" t="n"/>
      <c r="D81" s="88" t="str">
        <f>Analises!C205</f>
        <v>Baixa</v>
      </c>
      <c r="E81" s="89">
        <f>Analises!D205</f>
        <v>30</v>
      </c>
      <c r="F81" s="89">
        <f>Analises!E205</f>
        <v>30</v>
      </c>
      <c r="G81" s="90" t="str">
        <f>Analises!F205</f>
        <v>REPOR</v>
      </c>
      <c r="H81" s="68" t="n"/>
      <c r="I81" s="69" t="n"/>
      <c r="J81" s="69" t="n"/>
      <c r="K81" s="69" t="n"/>
      <c r="L81" s="69" t="n"/>
      <c r="M81" s="70" t="n"/>
      <c r="N81" s="47" t="n"/>
    </row>
    <row r="82" ht="17" customHeight="1">
      <c r="A82" s="47" t="n"/>
      <c r="B82" s="86" t="str">
        <f>Analises!B206</f>
        <v>Máscara Respiratória PFF2</v>
      </c>
      <c r="C82" s="87" t="n"/>
      <c r="D82" s="88" t="str">
        <f>Analises!C206</f>
        <v>Alta</v>
      </c>
      <c r="E82" s="89">
        <f>Analises!D206</f>
        <v>11</v>
      </c>
      <c r="F82" s="89">
        <f>Analises!E206</f>
        <v>10</v>
      </c>
      <c r="G82" s="90" t="str">
        <f>Analises!F206</f>
        <v>ATENÇÃO</v>
      </c>
      <c r="H82" s="68" t="n"/>
      <c r="I82" s="69" t="n"/>
      <c r="J82" s="69" t="n"/>
      <c r="K82" s="69" t="n"/>
      <c r="L82" s="69" t="n"/>
      <c r="M82" s="70" t="n"/>
      <c r="N82" s="47" t="n"/>
    </row>
    <row r="83" ht="17" customHeight="1">
      <c r="A83" s="47" t="n"/>
      <c r="B83" s="86" t="str">
        <f>Analises!B207</f>
        <v>Disco de Corte 7 pol</v>
      </c>
      <c r="C83" s="87" t="n"/>
      <c r="D83" s="88" t="str">
        <f>Analises!C207</f>
        <v>Alta</v>
      </c>
      <c r="E83" s="89">
        <f>Analises!D207</f>
        <v>74</v>
      </c>
      <c r="F83" s="89">
        <f>Analises!E207</f>
        <v>60</v>
      </c>
      <c r="G83" s="90" t="str">
        <f>Analises!F207</f>
        <v>ATENÇÃO</v>
      </c>
      <c r="H83" s="68" t="n"/>
      <c r="I83" s="69" t="n"/>
      <c r="J83" s="69" t="n"/>
      <c r="K83" s="69" t="n"/>
      <c r="L83" s="69" t="n"/>
      <c r="M83" s="70" t="n"/>
      <c r="N83" s="47" t="n"/>
    </row>
    <row r="84" ht="17" customHeight="1">
      <c r="A84" s="47" t="n"/>
      <c r="B84" s="86" t="str">
        <f>Analises!B208</f>
        <v>Bico de Contato MIG 1,0 mm</v>
      </c>
      <c r="C84" s="87" t="n"/>
      <c r="D84" s="88" t="str">
        <f>Analises!C208</f>
        <v>Média</v>
      </c>
      <c r="E84" s="89">
        <f>Analises!D208</f>
        <v>9</v>
      </c>
      <c r="F84" s="89">
        <f>Analises!E208</f>
        <v>8</v>
      </c>
      <c r="G84" s="90" t="str">
        <f>Analises!F208</f>
        <v>ATENÇÃO</v>
      </c>
      <c r="H84" s="68" t="n"/>
      <c r="I84" s="69" t="n"/>
      <c r="J84" s="69" t="n"/>
      <c r="K84" s="69" t="n"/>
      <c r="L84" s="69" t="n"/>
      <c r="M84" s="70" t="n"/>
      <c r="N84" s="47" t="n"/>
    </row>
    <row r="85" ht="17" customHeight="1">
      <c r="A85" s="47" t="n"/>
      <c r="B85" s="86" t="str">
        <f>Analises!B209</f>
        <v>Terminal de Compressão 6 mm²</v>
      </c>
      <c r="C85" s="87" t="n"/>
      <c r="D85" s="88" t="str">
        <f>Analises!C209</f>
        <v>Média</v>
      </c>
      <c r="E85" s="89">
        <f>Analises!D209</f>
        <v>14</v>
      </c>
      <c r="F85" s="89">
        <f>Analises!E209</f>
        <v>12</v>
      </c>
      <c r="G85" s="90" t="str">
        <f>Analises!F209</f>
        <v>ATENÇÃO</v>
      </c>
      <c r="H85" s="68" t="n"/>
      <c r="I85" s="69" t="n"/>
      <c r="J85" s="69" t="n"/>
      <c r="K85" s="69" t="n"/>
      <c r="L85" s="69" t="n"/>
      <c r="M85" s="70" t="n"/>
      <c r="N85" s="47" t="n"/>
    </row>
    <row r="86" ht="17" customHeight="1">
      <c r="A86" s="47" t="n"/>
      <c r="B86" s="86" t="str">
        <f>Analises!B210</f>
        <v/>
      </c>
      <c r="C86" s="87" t="n"/>
      <c r="D86" s="88" t="str">
        <f>Analises!C210</f>
        <v/>
      </c>
      <c r="E86" s="89" t="str">
        <f>Analises!D210</f>
        <v/>
      </c>
      <c r="F86" s="89" t="str">
        <f>Analises!E210</f>
        <v/>
      </c>
      <c r="G86" s="90" t="str">
        <f>Analises!F210</f>
        <v/>
      </c>
      <c r="H86" s="68" t="n"/>
      <c r="I86" s="69" t="n"/>
      <c r="J86" s="69" t="n"/>
      <c r="K86" s="69" t="n"/>
      <c r="L86" s="69" t="n"/>
      <c r="M86" s="70" t="n"/>
      <c r="N86" s="47" t="n"/>
    </row>
    <row r="87" ht="6" customHeight="1">
      <c r="A87" s="47" t="n"/>
      <c r="B87" s="68" t="n"/>
      <c r="C87" s="69" t="n"/>
      <c r="D87" s="69" t="n"/>
      <c r="E87" s="69" t="n"/>
      <c r="F87" s="69" t="n"/>
      <c r="G87" s="70" t="n"/>
      <c r="H87" s="68" t="n"/>
      <c r="I87" s="69" t="n"/>
      <c r="J87" s="69" t="n"/>
      <c r="K87" s="69" t="n"/>
      <c r="L87" s="69" t="n"/>
      <c r="M87" s="70" t="n"/>
      <c r="N87" s="47" t="n"/>
    </row>
    <row r="88" ht="20" customHeight="1">
      <c r="A88" s="47" t="n"/>
      <c r="B88" s="82" t="inlineStr">
        <is>
          <t>Criticidade × status</t>
        </is>
      </c>
      <c r="C88" s="83" t="n"/>
      <c r="D88" s="84" t="str">
        <f>Analises!B192</f>
        <v>REPOR</v>
      </c>
      <c r="E88" s="84" t="str">
        <f>Analises!C192</f>
        <v>ATENÇÃO</v>
      </c>
      <c r="F88" s="84" t="str">
        <f>Analises!D192</f>
        <v>OK</v>
      </c>
      <c r="G88" s="85" t="str">
        <f>Analises!E192</f>
        <v>Total</v>
      </c>
      <c r="H88" s="68" t="n"/>
      <c r="I88" s="69" t="n"/>
      <c r="J88" s="69" t="n"/>
      <c r="K88" s="69" t="n"/>
      <c r="L88" s="69" t="n"/>
      <c r="M88" s="70" t="n"/>
      <c r="N88" s="47" t="n"/>
    </row>
    <row r="89" ht="18" customHeight="1">
      <c r="A89" s="47" t="n"/>
      <c r="B89" s="91" t="str">
        <f>Analises!A193</f>
        <v>Alta</v>
      </c>
      <c r="C89" s="87" t="n"/>
      <c r="D89" s="89">
        <f>Analises!B193</f>
        <v>2</v>
      </c>
      <c r="E89" s="89">
        <f>Analises!C193</f>
        <v>2</v>
      </c>
      <c r="F89" s="89">
        <f>Analises!D193</f>
        <v>1</v>
      </c>
      <c r="G89" s="92">
        <f>Analises!E193</f>
        <v>5</v>
      </c>
      <c r="H89" s="68" t="n"/>
      <c r="I89" s="69" t="n"/>
      <c r="J89" s="69" t="n"/>
      <c r="K89" s="69" t="n"/>
      <c r="L89" s="69" t="n"/>
      <c r="M89" s="70" t="n"/>
      <c r="N89" s="47" t="n"/>
    </row>
    <row r="90" ht="18" customHeight="1">
      <c r="A90" s="47" t="n"/>
      <c r="B90" s="91" t="str">
        <f>Analises!A194</f>
        <v>Média</v>
      </c>
      <c r="C90" s="87" t="n"/>
      <c r="D90" s="89">
        <f>Analises!B194</f>
        <v>2</v>
      </c>
      <c r="E90" s="89">
        <f>Analises!C194</f>
        <v>2</v>
      </c>
      <c r="F90" s="89">
        <f>Analises!D194</f>
        <v>5</v>
      </c>
      <c r="G90" s="92">
        <f>Analises!E194</f>
        <v>9</v>
      </c>
      <c r="H90" s="68" t="n"/>
      <c r="I90" s="69" t="n"/>
      <c r="J90" s="69" t="n"/>
      <c r="K90" s="69" t="n"/>
      <c r="L90" s="69" t="n"/>
      <c r="M90" s="70" t="n"/>
      <c r="N90" s="47" t="n"/>
    </row>
    <row r="91" ht="18" customHeight="1">
      <c r="A91" s="47" t="n"/>
      <c r="B91" s="91" t="str">
        <f>Analises!A195</f>
        <v>Baixa</v>
      </c>
      <c r="C91" s="87" t="n"/>
      <c r="D91" s="89">
        <f>Analises!B195</f>
        <v>1</v>
      </c>
      <c r="E91" s="89">
        <f>Analises!C195</f>
        <v>0</v>
      </c>
      <c r="F91" s="89">
        <f>Analises!D195</f>
        <v>5</v>
      </c>
      <c r="G91" s="92">
        <f>Analises!E195</f>
        <v>6</v>
      </c>
      <c r="H91" s="68" t="n"/>
      <c r="I91" s="69" t="n"/>
      <c r="J91" s="69" t="n"/>
      <c r="K91" s="69" t="n"/>
      <c r="L91" s="69" t="n"/>
      <c r="M91" s="70" t="n"/>
      <c r="N91" s="47" t="n"/>
    </row>
    <row r="92" ht="18" customHeight="1">
      <c r="A92" s="47" t="n"/>
      <c r="B92" s="91" t="inlineStr">
        <is>
          <t>Total</t>
        </is>
      </c>
      <c r="C92" s="87" t="n"/>
      <c r="D92" s="93">
        <f>Analises!B196</f>
        <v>5</v>
      </c>
      <c r="E92" s="93">
        <f>Analises!C196</f>
        <v>4</v>
      </c>
      <c r="F92" s="93">
        <f>Analises!D196</f>
        <v>11</v>
      </c>
      <c r="G92" s="92">
        <f>Analises!E196</f>
        <v>20</v>
      </c>
      <c r="H92" s="68" t="n"/>
      <c r="I92" s="69" t="n"/>
      <c r="J92" s="69" t="n"/>
      <c r="K92" s="69" t="n"/>
      <c r="L92" s="69" t="n"/>
      <c r="M92" s="70" t="n"/>
      <c r="N92" s="47" t="n"/>
    </row>
    <row r="93" ht="30" customHeight="1">
      <c r="A93" s="47" t="n"/>
      <c r="B93" s="71" t="str">
        <f>COUNTIF(tbEstoque[Status_Estoque],"REPOR")&amp;" em REPOR ("&amp;Indicadores!$B$11&amp;" de criticidade Alta) · "&amp;COUNTIF(tbEstoque[Status_Estoque],"ATENÇÃO")&amp;" em ATENÇÃO ("&amp;COUNTIFS(tbEstoque[Criticidade],"Alta",tbEstoque[Status_Estoque],"ATENÇÃO")&amp;" de criticidade Alta)"&amp;IF(Analises!B212&gt;0,CHAR(10)&amp;"+"&amp;Analises!B212&amp;" item(ns) fora do painel: ver aba Analises, seção 7b","")</f>
        <v>5 em REPOR (2 de criticidade Alta) · 4 em ATENÇÃO (2 de criticidade Alta)</v>
      </c>
      <c r="C93" s="72" t="n"/>
      <c r="D93" s="72" t="n"/>
      <c r="E93" s="72" t="n"/>
      <c r="F93" s="72" t="n"/>
      <c r="G93" s="73" t="n"/>
      <c r="H93" s="71" t="str">
        <f>"REPOR: atual &lt;= mínimo · ATENÇÃO: até "&amp;ROUND(pMargemAtencao*100,0)&amp;"% acima do mínimo · Crítico em risco: criticidade Alta em REPOR (texto vermelho na fila)"</f>
        <v>REPOR: atual &lt;= mínimo · ATENÇÃO: até 25% acima do mínimo · Crítico em risco: criticidade Alta em REPOR (texto vermelho na fila)</v>
      </c>
      <c r="I93" s="72" t="n"/>
      <c r="J93" s="72" t="n"/>
      <c r="K93" s="72" t="n"/>
      <c r="L93" s="72" t="n"/>
      <c r="M93" s="73" t="n"/>
      <c r="N93" s="47" t="n"/>
    </row>
    <row r="94" ht="8" customHeight="1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</row>
    <row r="95" ht="16" customHeight="1">
      <c r="A95" s="47" t="n"/>
      <c r="B95" s="94" t="inlineStr">
        <is>
          <t>Rastreabilidade: cada número deste painel é fórmula. DASHBOARD ← Analises ← Indicadores ← tbConsumo / tbEstoque / tbMateriais (CSVs em data/).</t>
        </is>
      </c>
      <c r="N95" s="47" t="n"/>
    </row>
    <row r="96" ht="16" customHeight="1">
      <c r="A96" s="47" t="n"/>
      <c r="B96" s="95" t="str">
        <f>"Conferências da camada analítica: "&amp;Analises!B236&amp;" OK  ·  Qualidade dos dados: "&amp;Qualidade!B6&amp;" PASS / "&amp;Qualidade!B7&amp;" FAIL  ·  Conferências de Indicadores: "&amp;Indicadores!B16&amp;" OK"</f>
        <v>Conferências da camada analítica: 18 de 18 OK  ·  Qualidade dos dados: 36 PASS / 0 FAIL  ·  Conferências de Indicadores: 12 de 12 OK</v>
      </c>
      <c r="N96" s="47" t="n"/>
    </row>
    <row r="97" ht="16" customHeight="1">
      <c r="A97" s="47" t="n"/>
      <c r="B97" s="96" t="inlineStr">
        <is>
          <t>Dados 100% sintéticos utilizados exclusivamente para estudo e portfólio. O projeto não realiza previsão e nenhum resultado é recomendação operacional real.</t>
        </is>
      </c>
      <c r="N97" s="47" t="n"/>
    </row>
    <row r="98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</row>
  </sheetData>
  <mergeCells count="93">
    <mergeCell ref="B91:C91"/>
    <mergeCell ref="H21:M21"/>
    <mergeCell ref="B77:C77"/>
    <mergeCell ref="D6:E6"/>
    <mergeCell ref="B86:C86"/>
    <mergeCell ref="D70:E70"/>
    <mergeCell ref="F70:G70"/>
    <mergeCell ref="J4:K4"/>
    <mergeCell ref="B78:C78"/>
    <mergeCell ref="L4:M4"/>
    <mergeCell ref="D7:E7"/>
    <mergeCell ref="D72:E72"/>
    <mergeCell ref="F72:G72"/>
    <mergeCell ref="H72:I72"/>
    <mergeCell ref="D4:E4"/>
    <mergeCell ref="D71:E71"/>
    <mergeCell ref="F71:G71"/>
    <mergeCell ref="L72:M72"/>
    <mergeCell ref="I10:M10"/>
    <mergeCell ref="H71:I71"/>
    <mergeCell ref="J71:K71"/>
    <mergeCell ref="B96:M96"/>
    <mergeCell ref="B21:G21"/>
    <mergeCell ref="I74:M74"/>
    <mergeCell ref="L7:M7"/>
    <mergeCell ref="H46:M46"/>
    <mergeCell ref="B90:C90"/>
    <mergeCell ref="F6:G6"/>
    <mergeCell ref="I36:M36"/>
    <mergeCell ref="B49:G49"/>
    <mergeCell ref="H24:M24"/>
    <mergeCell ref="B84:C84"/>
    <mergeCell ref="I23:M23"/>
    <mergeCell ref="B6:C6"/>
    <mergeCell ref="L6:M6"/>
    <mergeCell ref="B80:C80"/>
    <mergeCell ref="H93:M93"/>
    <mergeCell ref="B89:C89"/>
    <mergeCell ref="B93:G93"/>
    <mergeCell ref="B10:H10"/>
    <mergeCell ref="B79:C79"/>
    <mergeCell ref="H34:M34"/>
    <mergeCell ref="L70:M70"/>
    <mergeCell ref="B11:G11"/>
    <mergeCell ref="F4:G4"/>
    <mergeCell ref="H49:M49"/>
    <mergeCell ref="B7:C7"/>
    <mergeCell ref="B72:C72"/>
    <mergeCell ref="B74:H74"/>
    <mergeCell ref="B81:C81"/>
    <mergeCell ref="J3:M3"/>
    <mergeCell ref="H11:M11"/>
    <mergeCell ref="B71:C71"/>
    <mergeCell ref="F7:G7"/>
    <mergeCell ref="H75:M75"/>
    <mergeCell ref="H37:M37"/>
    <mergeCell ref="L8:M8"/>
    <mergeCell ref="B88:C88"/>
    <mergeCell ref="B82:C82"/>
    <mergeCell ref="F8:G8"/>
    <mergeCell ref="B24:G24"/>
    <mergeCell ref="B48:H48"/>
    <mergeCell ref="B83:C83"/>
    <mergeCell ref="I48:M48"/>
    <mergeCell ref="B23:H23"/>
    <mergeCell ref="B92:C92"/>
    <mergeCell ref="B76:C76"/>
    <mergeCell ref="B85:C85"/>
    <mergeCell ref="B4:C4"/>
    <mergeCell ref="J72:K72"/>
    <mergeCell ref="B3:I3"/>
    <mergeCell ref="J2:M2"/>
    <mergeCell ref="H4:I4"/>
    <mergeCell ref="B36:H36"/>
    <mergeCell ref="B34:G34"/>
    <mergeCell ref="B70:C70"/>
    <mergeCell ref="H6:I6"/>
    <mergeCell ref="J6:K6"/>
    <mergeCell ref="B37:G37"/>
    <mergeCell ref="B2:I2"/>
    <mergeCell ref="L71:M71"/>
    <mergeCell ref="B8:C8"/>
    <mergeCell ref="H70:I70"/>
    <mergeCell ref="J70:K70"/>
    <mergeCell ref="B95:M95"/>
    <mergeCell ref="H7:I7"/>
    <mergeCell ref="J7:K7"/>
    <mergeCell ref="B75:G75"/>
    <mergeCell ref="B97:M97"/>
    <mergeCell ref="D8:E8"/>
    <mergeCell ref="B46:G46"/>
    <mergeCell ref="H8:I8"/>
    <mergeCell ref="J8:K8"/>
  </mergeCells>
  <conditionalFormatting sqref="J7">
    <cfRule type="cellIs" priority="1" operator="greaterThan" dxfId="6">
      <formula>0</formula>
    </cfRule>
  </conditionalFormatting>
  <conditionalFormatting sqref="L7">
    <cfRule type="cellIs" priority="2" operator="greaterThan" dxfId="6">
      <formula>0</formula>
    </cfRule>
  </conditionalFormatting>
  <conditionalFormatting sqref="G77:G86">
    <cfRule type="cellIs" priority="3" operator="equal" dxfId="4">
      <formula>"REPOR"</formula>
    </cfRule>
    <cfRule type="cellIs" priority="4" operator="equal" dxfId="5">
      <formula>"ATENÇÃO"</formula>
    </cfRule>
  </conditionalFormatting>
  <conditionalFormatting sqref="D77:D86">
    <cfRule type="cellIs" priority="5" operator="equal" dxfId="0">
      <formula>"Alta"</formula>
    </cfRule>
  </conditionalFormatting>
  <conditionalFormatting sqref="B77:C86">
    <cfRule type="expression" priority="6" dxfId="0">
      <formula>AND($D77="Alta",$G77="REPOR")</formula>
    </cfRule>
  </conditionalFormatting>
  <conditionalFormatting sqref="D89:D91">
    <cfRule type="cellIs" priority="7" operator="greaterThan" dxfId="4">
      <formula>0</formula>
    </cfRule>
  </conditionalFormatting>
  <conditionalFormatting sqref="E89:E91">
    <cfRule type="cellIs" priority="8" operator="greaterThan" dxfId="5">
      <formula>0</formula>
    </cfRule>
  </conditionalFormatting>
  <conditionalFormatting sqref="F89:F91">
    <cfRule type="cellIs" priority="9" operator="greaterThan" dxfId="3">
      <formula>0</formula>
    </cfRule>
  </conditionalFormatting>
  <hyperlinks>
    <hyperlink ref="B4" location="Indicadores!A1" display="Indicadores (KPIs)"/>
    <hyperlink ref="D4" location="Analises!A1" display="Analises (cálculos)"/>
    <hyperlink ref="F4" location="Estoque!A1" display="Estoque (dados)"/>
    <hyperlink ref="H4" location="Qualidade!A1" display="Qualidade dos dados"/>
    <hyperlink ref="J4" location="Parametros!A1" display="Parametros"/>
    <hyperlink ref="L4" location="LEIA_ME!A1" display="LEIA_ME"/>
  </hyperlinks>
  <printOptions horizontalCentered="1"/>
  <pageMargins left="0.3" right="0.3" top="0.3" bottom="0.5" header="0.5" footer="0.5"/>
  <pageSetup orientation="landscape" paperSize="9" fitToHeight="0" fitToWidth="1"/>
  <headerFooter>
    <oddHeader/>
    <oddFooter>&amp;CLobo Insights Industrial V0.2 · dados 100% sintéticos · página &amp;P de &amp;N</oddFooter>
    <evenHeader/>
    <evenFooter/>
    <firstHeader/>
    <firstFooter/>
  </headerFooter>
  <rowBreaks count="2" manualBreakCount="2">
    <brk id="35" min="0" max="16383" man="1"/>
    <brk id="7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Lobo Insights Industrial – V0.2 Analytics &amp; Dashboard</t>
        </is>
      </c>
    </row>
    <row r="2">
      <c r="A2" s="2" t="inlineStr">
        <is>
          <t>Dados 100% sintéticos utilizados exclusivamente para estudo e portfólio.</t>
        </is>
      </c>
    </row>
    <row r="4">
      <c r="A4" s="97" t="inlineStr">
        <is>
          <t>Pergunta central</t>
        </is>
      </c>
      <c r="B4" s="98" t="inlineStr">
        <is>
          <t>O que aconteceu na operação e o que precisa de atenção? Análise do PRESENTE e do histórico; este projeto NÃO faz previsão.</t>
        </is>
      </c>
    </row>
    <row r="5">
      <c r="A5" s="97" t="inlineStr">
        <is>
          <t>Versão / escopo</t>
        </is>
      </c>
      <c r="B5" s="98" t="inlineStr">
        <is>
          <t>V0.2 – camada analítica e DASHBOARD sobre a base V0.1.1 (dados, regras, 6 KPIs e fórmulas da V0.1.1 preservados). Sem IA, sem Power BI, sem n8n, sem previsão.</t>
        </is>
      </c>
    </row>
    <row r="6">
      <c r="A6" s="97" t="inlineStr">
        <is>
          <t>Fonte oficial dos números</t>
        </is>
      </c>
      <c r="B6" s="98" t="inlineStr">
        <is>
          <t>Os três CSVs da pasta data/. Materiais, Estoque e Consumo são cópias deles (tbMateriais, tbEstoque, tbConsumo). Nenhum número é digitado nas abas de resultado.</t>
        </is>
      </c>
    </row>
    <row r="7">
      <c r="A7" s="99" t="n"/>
      <c r="B7" s="98" t="n"/>
    </row>
    <row r="8">
      <c r="A8" s="6" t="inlineStr">
        <is>
          <t>Camadas (do dado à imagem)</t>
        </is>
      </c>
      <c r="B8" s="98" t="n"/>
    </row>
    <row r="9">
      <c r="A9" s="97" t="inlineStr">
        <is>
          <t>Dados</t>
        </is>
      </c>
      <c r="B9" s="98" t="inlineStr">
        <is>
          <t>Materiais, Estoque, Consumo (tabelas estruturadas).</t>
        </is>
      </c>
    </row>
    <row r="10">
      <c r="A10" s="97" t="inlineStr">
        <is>
          <t>Parâmetros</t>
        </is>
      </c>
      <c r="B10" s="98" t="inlineStr">
        <is>
          <t>Parametros: margem de ATENÇÃO, período, listas de valores válidos e (V0.2) limite do Pareto e nº de maiores materiais somados.</t>
        </is>
      </c>
    </row>
    <row r="11">
      <c r="A11" s="97" t="inlineStr">
        <is>
          <t>Validações</t>
        </is>
      </c>
      <c r="B11" s="98" t="inlineStr">
        <is>
          <t>Qualidade: 36 verificações ao vivo (Q01–Q36). Indicadores, seção 6, e Analises, seção 8: conferências de fechamento.</t>
        </is>
      </c>
    </row>
    <row r="12">
      <c r="A12" s="97" t="inlineStr">
        <is>
          <t>Indicadores</t>
        </is>
      </c>
      <c r="B12" s="98" t="inlineStr">
        <is>
          <t>Os 6 KPIs oficiais e resumos por mês, categoria, centro e material (V0.1.1, sem alteração de fórmulas).</t>
        </is>
      </c>
    </row>
    <row r="13">
      <c r="A13" s="97" t="inlineStr">
        <is>
          <t>Cálculos</t>
        </is>
      </c>
      <c r="B13" s="98" t="inlineStr">
        <is>
          <t>Analises: evolução mensal, rankings por categoria/centro/material, Pareto de custo e de consumo, concentração, fila de prioridade de estoque, matriz criticidade × status e conferências.</t>
        </is>
      </c>
    </row>
    <row r="14">
      <c r="A14" s="97" t="inlineStr">
        <is>
          <t>Visualizações</t>
        </is>
      </c>
      <c r="B14" s="98" t="inlineStr">
        <is>
          <t>DASHBOARD: 6 cartões de KPI, 9 gráficos (mensal, categoria e centro em unidades e custo; 2 Paretos; estoque atual × mínimo), 6 cartões de concentração, fila de atenção de estoque e leituras geradas por fórmula.</t>
        </is>
      </c>
    </row>
    <row r="15">
      <c r="A15" s="99" t="n"/>
      <c r="B15" s="98" t="n"/>
    </row>
    <row r="16">
      <c r="A16" s="97" t="inlineStr">
        <is>
          <t>Como ler o DASHBOARD</t>
        </is>
      </c>
      <c r="B16" s="98" t="inlineStr">
        <is>
          <t>De cima para baixo: KPIs → evolução mensal → categorias → centros → Pareto de materiais → estoque e criticidade. Os links da faixa superior levam às abas de apoio. Nenhum número é digitado: passe o cursor/selecione a célula para ver a fórmula.</t>
        </is>
      </c>
    </row>
    <row r="17">
      <c r="A17" s="97" t="inlineStr">
        <is>
          <t>Filtros / segmentações</t>
        </is>
      </c>
      <c r="B17" s="98" t="inlineStr">
        <is>
          <t>Não há filtros no DASHBOARD (decisão técnica registrada em docs/V0_2_NOTES.md): segmentações nativas exigem tabelas dinâmicas e não puderam ser verificadas neste ambiente; listas suspensas por fórmula fariam os painéis divergirem dos 6 KPIs oficiais. As tabelas de dados têm filtro de coluna.</t>
        </is>
      </c>
    </row>
    <row r="18">
      <c r="A18" s="97" t="inlineStr">
        <is>
          <t>Legenda de cores</t>
        </is>
      </c>
      <c r="B18" s="98" t="inlineStr">
        <is>
          <t>Cabeçalho azul-marinho = importado do CSV (ou cabeçalho de bloco). Cabeçalho verde = coluna calculada da V0.1.1. Célula amarela com texto azul = parâmetro editável (Parametros). Estoque: vermelho = REPOR, âmbar = ATENÇÃO, verde = OK.</t>
        </is>
      </c>
    </row>
    <row r="19">
      <c r="A19" s="97" t="inlineStr">
        <is>
          <t>Status de estoque</t>
        </is>
      </c>
      <c r="B19" s="98" t="inlineStr">
        <is>
          <t>REPOR: Estoque_Atual &lt;= Estoque_Minimo. ATENÇÃO: Atual &gt; Mínimo e &lt;= Mínimo x (1 + Margem_ATENCAO; padrão 25%). OK: acima disso. É o estado ATUAL – não é previsão nem cálculo de reposição.</t>
        </is>
      </c>
    </row>
    <row r="20">
      <c r="A20" s="97" t="inlineStr">
        <is>
          <t>Critico_Em_Risco</t>
        </is>
      </c>
      <c r="B20" s="98" t="inlineStr">
        <is>
          <t>Sim quando Criticidade = Alta e Status_Estoque = REPOR.</t>
        </is>
      </c>
    </row>
    <row r="21">
      <c r="A21" s="97" t="inlineStr">
        <is>
          <t>Pareto</t>
        </is>
      </c>
      <c r="B21" s="98" t="inlineStr">
        <is>
          <t>Materiais ordenados do maior para o menor valor; % acumulado sobre o total oficial (KPI). 'Núcleo' = materiais necessários para atingir o limite (Parametros, padrão 80%). É descrição do período observado, não regra de gestão.</t>
        </is>
      </c>
    </row>
    <row r="22">
      <c r="A22" s="97" t="inlineStr">
        <is>
          <t>Custo estimado</t>
        </is>
      </c>
      <c r="B22" s="98" t="inlineStr">
        <is>
          <t>Custo_Movimentado = Quantidade x Custo_Unitario (2 casas). Custos e moeda são fictícios.</t>
        </is>
      </c>
    </row>
    <row r="23">
      <c r="A23" s="97" t="inlineStr">
        <is>
          <t>Como validar</t>
        </is>
      </c>
      <c r="B23" s="98" t="inlineStr">
        <is>
          <t>1) Qualidade: todos PASS. 2) Analises, seção 8, e Indicadores, seção 6: conferências OK (o rodapé do DASHBOARD resume). 3) Compare os KPIs com scripts/validar_dados.py e docs/TEST_REPORT.md.</t>
        </is>
      </c>
    </row>
    <row r="24">
      <c r="A24" s="97" t="inlineStr">
        <is>
          <t>Limitações</t>
        </is>
      </c>
      <c r="B24" s="98" t="inlineStr">
        <is>
          <t>Dados sintéticos; 3 meses; sem previsão; não testado no Microsoft Excel real (docs/LIMITATIONS.md). Diferenças entre meses vêm do sorteio dos dados, não de fenômeno operacional.</t>
        </is>
      </c>
    </row>
    <row r="25">
      <c r="A25" s="99" t="n"/>
      <c r="B25" s="98" t="n"/>
    </row>
    <row r="26">
      <c r="A26" s="6" t="inlineStr">
        <is>
          <t>SHA-256 dos CSVs de origem</t>
        </is>
      </c>
      <c r="B26" s="98" t="n"/>
    </row>
    <row r="27">
      <c r="A27" s="97" t="inlineStr">
        <is>
          <t>consumo_ficticio.csv</t>
        </is>
      </c>
      <c r="B27" s="98" t="inlineStr">
        <is>
          <t>b5b8249731e5fcbce34b4345b4d1e576c568b33de3eba4dfca91f8bd0d94233c</t>
        </is>
      </c>
    </row>
    <row r="28">
      <c r="A28" s="97" t="inlineStr">
        <is>
          <t>estoque_ficticio.csv</t>
        </is>
      </c>
      <c r="B28" s="98" t="inlineStr">
        <is>
          <t>9f90cd52f208f9f863b2ababf7fed4735bbe893ef137efdc79f7506b3359a8d0</t>
        </is>
      </c>
    </row>
    <row r="29">
      <c r="A29" s="97" t="inlineStr">
        <is>
          <t>materiais_ficticios.csv</t>
        </is>
      </c>
      <c r="B29" s="98" t="inlineStr">
        <is>
          <t>eca98597dc740956b4db95885ec54693def431a56501ea6d055fa54c1654231b</t>
        </is>
      </c>
    </row>
    <row r="30">
      <c r="A30" s="99" t="n"/>
      <c r="B30" s="98" t="n"/>
    </row>
    <row r="31">
      <c r="A31" s="97" t="inlineStr">
        <is>
          <t>Uso</t>
        </is>
      </c>
      <c r="B31" s="98" t="inlineStr">
        <is>
          <t>Somente estudo e portfólio. Nenhum uso operacional real. Veja docs/LIMITATIONS.md.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0" customWidth="1" min="3" max="3"/>
    <col width="18" customWidth="1" min="4" max="4"/>
    <col width="14" customWidth="1" min="5" max="5"/>
    <col width="30" customWidth="1" min="6" max="6"/>
    <col width="16" customWidth="1" min="7" max="7"/>
    <col width="14" customWidth="1" min="8" max="8"/>
    <col width="15" customWidth="1" min="9" max="9"/>
    <col width="15" customWidth="1" min="10" max="10"/>
  </cols>
  <sheetData>
    <row r="1">
      <c r="A1" s="1" t="inlineStr">
        <is>
          <t>Indicadores – 6 KPIs oficiais e resumos (camada de indicadores; alimenta a aba Analises e o DASHBOARD)</t>
        </is>
      </c>
    </row>
    <row r="2">
      <c r="A2" s="14" t="inlineStr">
        <is>
          <t>Dados 100% sintéticos utilizados exclusivamente para estudo e portfólio.</t>
        </is>
      </c>
    </row>
    <row r="3">
      <c r="A3" s="14" t="inlineStr">
        <is>
          <t>Valores monetários em unidade fictícia. Todos os números são fórmulas sobre tbConsumo, tbEstoque e tbMateriais (nada digitado). Conteúdo idêntico ao da V0.1.1; a apresentação executiva está na aba DASHBOARD.</t>
        </is>
      </c>
    </row>
    <row r="4">
      <c r="A4" s="17" t="inlineStr">
        <is>
          <t>1. KPIs principais</t>
        </is>
      </c>
    </row>
    <row r="5">
      <c r="A5" s="18" t="inlineStr">
        <is>
          <t>KPI</t>
        </is>
      </c>
      <c r="B5" s="18" t="inlineStr">
        <is>
          <t>Valor</t>
        </is>
      </c>
      <c r="C5" s="18" t="inlineStr">
        <is>
          <t>Como é calculado</t>
        </is>
      </c>
      <c r="D5" s="19" t="n"/>
      <c r="E5" s="19" t="n"/>
      <c r="F5" s="20" t="n"/>
      <c r="G5" s="18" t="inlineStr">
        <is>
          <t>Origem</t>
        </is>
      </c>
      <c r="H5" s="19" t="n"/>
      <c r="I5" s="19" t="n"/>
      <c r="J5" s="20" t="n"/>
    </row>
    <row r="6" ht="28" customHeight="1">
      <c r="A6" s="21" t="inlineStr">
        <is>
          <t>Unidades consumidas</t>
        </is>
      </c>
      <c r="B6" s="22">
        <f>SUMIFS(tbConsumo[Quantidade],tbConsumo[Tipo_Movimentacao],"Consumo")</f>
        <v>1647</v>
      </c>
      <c r="C6" s="23" t="inlineStr">
        <is>
          <t>Soma de Quantidade das movimentações do tipo Consumo (SOMASES).</t>
        </is>
      </c>
      <c r="G6" s="24" t="inlineStr">
        <is>
          <t>tbConsumo[Quantidade]</t>
        </is>
      </c>
    </row>
    <row r="7" ht="28" customHeight="1">
      <c r="A7" s="21" t="inlineStr">
        <is>
          <t>Custo estimado consumido</t>
        </is>
      </c>
      <c r="B7" s="25">
        <f>SUMIFS(tbConsumo[Custo_Movimentado],tbConsumo[Tipo_Movimentacao],"Consumo")</f>
        <v>24606.2</v>
      </c>
      <c r="C7" s="23" t="inlineStr">
        <is>
          <t>Soma de Custo_Movimentado (Quantidade x Custo_Unitario) das movimentações de Consumo (SOMASES). Valor fictício.</t>
        </is>
      </c>
      <c r="G7" s="24" t="inlineStr">
        <is>
          <t>tbConsumo[Custo_Movimentado]</t>
        </is>
      </c>
    </row>
    <row r="8" ht="28" customHeight="1">
      <c r="A8" s="21" t="inlineStr">
        <is>
          <t>Movimentações</t>
        </is>
      </c>
      <c r="B8" s="22">
        <f>COUNTIFS(tbConsumo[Tipo_Movimentacao],"Consumo")</f>
        <v>180</v>
      </c>
      <c r="C8" s="23" t="inlineStr">
        <is>
          <t>Quantidade de registros (linhas) do tipo Consumo (CONT.SES). Não é quantidade de unidades.</t>
        </is>
      </c>
      <c r="G8" s="24" t="inlineStr">
        <is>
          <t>tbConsumo[Movimento_ID]</t>
        </is>
      </c>
    </row>
    <row r="9" ht="28" customHeight="1">
      <c r="A9" s="21" t="inlineStr">
        <is>
          <t>Materiais distintos movimentados</t>
        </is>
      </c>
      <c r="B9" s="22">
        <f>COUNTIF(B47:B66,"&gt;0")</f>
        <v>20</v>
      </c>
      <c r="C9" s="23" t="inlineStr">
        <is>
          <t>Materiais do catálogo com pelo menos 1 movimentação de Consumo (contagem sobre o resumo por material, seção 5).</t>
        </is>
      </c>
      <c r="G9" s="24" t="inlineStr">
        <is>
          <t>Seção 5 desta aba</t>
        </is>
      </c>
    </row>
    <row r="10" ht="28" customHeight="1">
      <c r="A10" s="21" t="inlineStr">
        <is>
          <t>Itens abaixo ou iguais ao mínimo</t>
        </is>
      </c>
      <c r="B10" s="22">
        <f>COUNTIF(tbEstoque[Status_Estoque],"REPOR")</f>
        <v>5</v>
      </c>
      <c r="C10" s="23" t="inlineStr">
        <is>
          <t>Itens com Status_Estoque = REPOR (Estoque_Atual &lt;= Estoque_Minimo).</t>
        </is>
      </c>
      <c r="G10" s="24" t="inlineStr">
        <is>
          <t>tbEstoque[Status_Estoque]</t>
        </is>
      </c>
    </row>
    <row r="11" ht="28" customHeight="1">
      <c r="A11" s="21" t="inlineStr">
        <is>
          <t>Itens críticos abaixo ou iguais ao mínimo</t>
        </is>
      </c>
      <c r="B11" s="22">
        <f>COUNTIF(tbEstoque[Critico_Em_Risco],"Sim")</f>
        <v>2</v>
      </c>
      <c r="C11" s="23" t="inlineStr">
        <is>
          <t>Itens com Criticidade = Alta e Estoque_Atual &lt;= Estoque_Minimo (Critico_Em_Risco = Sim).</t>
        </is>
      </c>
      <c r="G11" s="24" t="inlineStr">
        <is>
          <t>tbEstoque[Critico_Em_Risco]</t>
        </is>
      </c>
    </row>
    <row r="13">
      <c r="A13" s="8" t="inlineStr">
        <is>
          <t>Informativo: itens em ATENÇÃO</t>
        </is>
      </c>
      <c r="B13" s="26">
        <f>COUNTIF(tbEstoque[Status_Estoque],"ATENÇÃO")</f>
        <v>4</v>
      </c>
      <c r="C13" s="14" t="inlineStr">
        <is>
          <t>Atual &gt; Mínimo e Atual &lt;= Mínimo x (1 + margem). Não faz parte dos 6 KPIs.</t>
        </is>
      </c>
    </row>
    <row r="14">
      <c r="A14" s="8" t="inlineStr">
        <is>
          <t>Informativo: itens de criticidade Alta em ATENÇÃO</t>
        </is>
      </c>
      <c r="B14" s="26">
        <f>COUNTIFS(tbEstoque[Criticidade],"Alta",tbEstoque[Status_Estoque],"ATENÇÃO")</f>
        <v>2</v>
      </c>
      <c r="C14" s="14" t="inlineStr">
        <is>
          <t>Complementa o KPI 6, que considera apenas REPOR. Não faz parte dos 6 KPIs.</t>
        </is>
      </c>
    </row>
    <row r="16">
      <c r="A16" s="15" t="inlineStr">
        <is>
          <t>Conferências internas OK</t>
        </is>
      </c>
      <c r="B16" s="27" t="str">
        <f>COUNTIF(E72:E83,"OK")&amp;" de "&amp;ROWS(E72:E83)</f>
        <v>12 de 12</v>
      </c>
    </row>
    <row r="19">
      <c r="A19" s="17" t="inlineStr">
        <is>
          <t>2. Resumo por mês</t>
        </is>
      </c>
    </row>
    <row r="20">
      <c r="A20" s="18" t="inlineStr">
        <is>
          <t>Mês (aaaa-mm)</t>
        </is>
      </c>
      <c r="B20" s="18" t="inlineStr">
        <is>
          <t>Movimentações</t>
        </is>
      </c>
      <c r="C20" s="18" t="inlineStr">
        <is>
          <t>Unidades consumidas</t>
        </is>
      </c>
      <c r="D20" s="18" t="inlineStr">
        <is>
          <t>Custo estimado</t>
        </is>
      </c>
      <c r="E20" s="18" t="inlineStr">
        <is>
          <t>% do custo</t>
        </is>
      </c>
    </row>
    <row r="21">
      <c r="A21" s="28" t="str">
        <f>Parametros!$F$11</f>
        <v>2026-06</v>
      </c>
      <c r="B21" s="29">
        <f>COUNTIFS(tbConsumo[Mes],$A21,tbConsumo[Tipo_Movimentacao],"Consumo")</f>
        <v>65</v>
      </c>
      <c r="C21" s="29">
        <f>SUMIFS(tbConsumo[Quantidade],tbConsumo[Mes],$A21,tbConsumo[Tipo_Movimentacao],"Consumo")</f>
        <v>608</v>
      </c>
      <c r="D21" s="30">
        <f>SUMIFS(tbConsumo[Custo_Movimentado],tbConsumo[Mes],$A21,tbConsumo[Tipo_Movimentacao],"Consumo")</f>
        <v>8456.1</v>
      </c>
      <c r="E21" s="31">
        <f>IF(D$24=0,0,D21/D$24)</f>
        <v>0.343657289626192</v>
      </c>
    </row>
    <row r="22">
      <c r="A22" s="28" t="str">
        <f>Parametros!$F$12</f>
        <v>2026-07</v>
      </c>
      <c r="B22" s="29">
        <f>COUNTIFS(tbConsumo[Mes],$A22,tbConsumo[Tipo_Movimentacao],"Consumo")</f>
        <v>75</v>
      </c>
      <c r="C22" s="29">
        <f>SUMIFS(tbConsumo[Quantidade],tbConsumo[Mes],$A22,tbConsumo[Tipo_Movimentacao],"Consumo")</f>
        <v>691</v>
      </c>
      <c r="D22" s="30">
        <f>SUMIFS(tbConsumo[Custo_Movimentado],tbConsumo[Mes],$A22,tbConsumo[Tipo_Movimentacao],"Consumo")</f>
        <v>10933</v>
      </c>
      <c r="E22" s="31">
        <f>IF(D$24=0,0,D22/D$24)</f>
        <v>0.444318911493851</v>
      </c>
    </row>
    <row r="23">
      <c r="A23" s="28" t="str">
        <f>Parametros!$F$13</f>
        <v>2026-08</v>
      </c>
      <c r="B23" s="29">
        <f>COUNTIFS(tbConsumo[Mes],$A23,tbConsumo[Tipo_Movimentacao],"Consumo")</f>
        <v>40</v>
      </c>
      <c r="C23" s="29">
        <f>SUMIFS(tbConsumo[Quantidade],tbConsumo[Mes],$A23,tbConsumo[Tipo_Movimentacao],"Consumo")</f>
        <v>348</v>
      </c>
      <c r="D23" s="30">
        <f>SUMIFS(tbConsumo[Custo_Movimentado],tbConsumo[Mes],$A23,tbConsumo[Tipo_Movimentacao],"Consumo")</f>
        <v>5217.1</v>
      </c>
      <c r="E23" s="31">
        <f>IF(D$24=0,0,D23/D$24)</f>
        <v>0.212023798879957</v>
      </c>
    </row>
    <row r="24">
      <c r="A24" s="32" t="inlineStr">
        <is>
          <t>Total</t>
        </is>
      </c>
      <c r="B24" s="33">
        <f>SUM(B21:B23)</f>
        <v>180</v>
      </c>
      <c r="C24" s="33">
        <f>SUM(C21:C23)</f>
        <v>1647</v>
      </c>
      <c r="D24" s="34">
        <f>SUM(D21:D23)</f>
        <v>24606.2</v>
      </c>
      <c r="E24" s="35">
        <f>SUM(E21:E23)</f>
        <v>1</v>
      </c>
    </row>
    <row r="26">
      <c r="A26" s="17" t="inlineStr">
        <is>
          <t>3. Resumo por categoria</t>
        </is>
      </c>
    </row>
    <row r="27">
      <c r="A27" s="18" t="inlineStr">
        <is>
          <t>Categoria</t>
        </is>
      </c>
      <c r="B27" s="18" t="inlineStr">
        <is>
          <t>Movimentações</t>
        </is>
      </c>
      <c r="C27" s="18" t="inlineStr">
        <is>
          <t>Unidades consumidas</t>
        </is>
      </c>
      <c r="D27" s="18" t="inlineStr">
        <is>
          <t>Custo estimado</t>
        </is>
      </c>
      <c r="E27" s="18" t="inlineStr">
        <is>
          <t>% do custo</t>
        </is>
      </c>
    </row>
    <row r="28">
      <c r="A28" s="28" t="str">
        <f>Parametros!$A$11</f>
        <v>Abrasivos</v>
      </c>
      <c r="B28" s="29">
        <f>COUNTIFS(tbConsumo[Categoria],$A28,tbConsumo[Tipo_Movimentacao],"Consumo")</f>
        <v>38</v>
      </c>
      <c r="C28" s="29">
        <f>SUMIFS(tbConsumo[Quantidade],tbConsumo[Categoria],$A28,tbConsumo[Tipo_Movimentacao],"Consumo")</f>
        <v>419</v>
      </c>
      <c r="D28" s="30">
        <f>SUMIFS(tbConsumo[Custo_Movimentado],tbConsumo[Categoria],$A28,tbConsumo[Tipo_Movimentacao],"Consumo")</f>
        <v>4179.4</v>
      </c>
      <c r="E28" s="31">
        <f>IF(D$34=0,0,D28/D$34)</f>
        <v>0.169851500841251</v>
      </c>
    </row>
    <row r="29">
      <c r="A29" s="28" t="str">
        <f>Parametros!$A$12</f>
        <v>Soldagem</v>
      </c>
      <c r="B29" s="29">
        <f>COUNTIFS(tbConsumo[Categoria],$A29,tbConsumo[Tipo_Movimentacao],"Consumo")</f>
        <v>28</v>
      </c>
      <c r="C29" s="29">
        <f>SUMIFS(tbConsumo[Quantidade],tbConsumo[Categoria],$A29,tbConsumo[Tipo_Movimentacao],"Consumo")</f>
        <v>57</v>
      </c>
      <c r="D29" s="30">
        <f>SUMIFS(tbConsumo[Custo_Movimentado],tbConsumo[Categoria],$A29,tbConsumo[Tipo_Movimentacao],"Consumo")</f>
        <v>4869</v>
      </c>
      <c r="E29" s="31">
        <f>IF(D$34=0,0,D29/D$34)</f>
        <v>0.197876957839894</v>
      </c>
    </row>
    <row r="30">
      <c r="A30" s="28" t="str">
        <f>Parametros!$A$13</f>
        <v>Corte</v>
      </c>
      <c r="B30" s="29">
        <f>COUNTIFS(tbConsumo[Categoria],$A30,tbConsumo[Tipo_Movimentacao],"Consumo")</f>
        <v>43</v>
      </c>
      <c r="C30" s="29">
        <f>SUMIFS(tbConsumo[Quantidade],tbConsumo[Categoria],$A30,tbConsumo[Tipo_Movimentacao],"Consumo")</f>
        <v>940</v>
      </c>
      <c r="D30" s="30">
        <f>SUMIFS(tbConsumo[Custo_Movimentado],tbConsumo[Categoria],$A30,tbConsumo[Tipo_Movimentacao],"Consumo")</f>
        <v>7565.3</v>
      </c>
      <c r="E30" s="31">
        <f>IF(D$34=0,0,D30/D$34)</f>
        <v>0.307455031658688</v>
      </c>
    </row>
    <row r="31">
      <c r="A31" s="28" t="str">
        <f>Parametros!$A$14</f>
        <v>Elétrica</v>
      </c>
      <c r="B31" s="29">
        <f>COUNTIFS(tbConsumo[Categoria],$A31,tbConsumo[Tipo_Movimentacao],"Consumo")</f>
        <v>28</v>
      </c>
      <c r="C31" s="29">
        <f>SUMIFS(tbConsumo[Quantidade],tbConsumo[Categoria],$A31,tbConsumo[Tipo_Movimentacao],"Consumo")</f>
        <v>45</v>
      </c>
      <c r="D31" s="30">
        <f>SUMIFS(tbConsumo[Custo_Movimentado],tbConsumo[Categoria],$A31,tbConsumo[Tipo_Movimentacao],"Consumo")</f>
        <v>4871</v>
      </c>
      <c r="E31" s="31">
        <f>IF(D$34=0,0,D31/D$34)</f>
        <v>0.197958238167616</v>
      </c>
    </row>
    <row r="32">
      <c r="A32" s="28" t="str">
        <f>Parametros!$A$15</f>
        <v>EPI</v>
      </c>
      <c r="B32" s="29">
        <f>COUNTIFS(tbConsumo[Categoria],$A32,tbConsumo[Tipo_Movimentacao],"Consumo")</f>
        <v>34</v>
      </c>
      <c r="C32" s="29">
        <f>SUMIFS(tbConsumo[Quantidade],tbConsumo[Categoria],$A32,tbConsumo[Tipo_Movimentacao],"Consumo")</f>
        <v>169</v>
      </c>
      <c r="D32" s="30">
        <f>SUMIFS(tbConsumo[Custo_Movimentado],tbConsumo[Categoria],$A32,tbConsumo[Tipo_Movimentacao],"Consumo")</f>
        <v>2751.5</v>
      </c>
      <c r="E32" s="31">
        <f>IF(D$34=0,0,D32/D$34)</f>
        <v>0.111821410863929</v>
      </c>
    </row>
    <row r="33">
      <c r="A33" s="28" t="str">
        <f>Parametros!$A$16</f>
        <v>Ferramentas</v>
      </c>
      <c r="B33" s="29">
        <f>COUNTIFS(tbConsumo[Categoria],$A33,tbConsumo[Tipo_Movimentacao],"Consumo")</f>
        <v>9</v>
      </c>
      <c r="C33" s="29">
        <f>SUMIFS(tbConsumo[Quantidade],tbConsumo[Categoria],$A33,tbConsumo[Tipo_Movimentacao],"Consumo")</f>
        <v>17</v>
      </c>
      <c r="D33" s="30">
        <f>SUMIFS(tbConsumo[Custo_Movimentado],tbConsumo[Categoria],$A33,tbConsumo[Tipo_Movimentacao],"Consumo")</f>
        <v>370</v>
      </c>
      <c r="E33" s="31">
        <f>IF(D$34=0,0,D33/D$34)</f>
        <v>0.0150368606286221</v>
      </c>
    </row>
    <row r="34">
      <c r="A34" s="32" t="inlineStr">
        <is>
          <t>Total</t>
        </is>
      </c>
      <c r="B34" s="33">
        <f>SUM(B28:B33)</f>
        <v>180</v>
      </c>
      <c r="C34" s="33">
        <f>SUM(C28:C33)</f>
        <v>1647</v>
      </c>
      <c r="D34" s="34">
        <f>SUM(D28:D33)</f>
        <v>24606.2</v>
      </c>
      <c r="E34" s="35">
        <f>SUM(E28:E33)</f>
        <v>1</v>
      </c>
    </row>
    <row r="36">
      <c r="A36" s="17" t="inlineStr">
        <is>
          <t>4. Resumo por centro de trabalho</t>
        </is>
      </c>
    </row>
    <row r="37">
      <c r="A37" s="18" t="inlineStr">
        <is>
          <t>Centro_Trabalho</t>
        </is>
      </c>
      <c r="B37" s="18" t="inlineStr">
        <is>
          <t>Movimentações</t>
        </is>
      </c>
      <c r="C37" s="18" t="inlineStr">
        <is>
          <t>Unidades consumidas</t>
        </is>
      </c>
      <c r="D37" s="18" t="inlineStr">
        <is>
          <t>Custo estimado</t>
        </is>
      </c>
      <c r="E37" s="18" t="inlineStr">
        <is>
          <t>% do custo</t>
        </is>
      </c>
    </row>
    <row r="38">
      <c r="A38" s="28" t="str">
        <f>Parametros!$D$11</f>
        <v>MANUTENCAO</v>
      </c>
      <c r="B38" s="29">
        <f>COUNTIFS(tbConsumo[Centro_Trabalho],$A38,tbConsumo[Tipo_Movimentacao],"Consumo")</f>
        <v>54</v>
      </c>
      <c r="C38" s="29">
        <f>SUMIFS(tbConsumo[Quantidade],tbConsumo[Centro_Trabalho],$A38,tbConsumo[Tipo_Movimentacao],"Consumo")</f>
        <v>413</v>
      </c>
      <c r="D38" s="30">
        <f>SUMIFS(tbConsumo[Custo_Movimentado],tbConsumo[Centro_Trabalho],$A38,tbConsumo[Tipo_Movimentacao],"Consumo")</f>
        <v>6402.2</v>
      </c>
      <c r="E38" s="31">
        <f>IF(D$43=0,0,D38/D$43)</f>
        <v>0.260186457071795</v>
      </c>
    </row>
    <row r="39">
      <c r="A39" s="28" t="str">
        <f>Parametros!$D$12</f>
        <v>SOLDAGEM</v>
      </c>
      <c r="B39" s="29">
        <f>COUNTIFS(tbConsumo[Centro_Trabalho],$A39,tbConsumo[Tipo_Movimentacao],"Consumo")</f>
        <v>42</v>
      </c>
      <c r="C39" s="29">
        <f>SUMIFS(tbConsumo[Quantidade],tbConsumo[Centro_Trabalho],$A39,tbConsumo[Tipo_Movimentacao],"Consumo")</f>
        <v>388</v>
      </c>
      <c r="D39" s="30">
        <f>SUMIFS(tbConsumo[Custo_Movimentado],tbConsumo[Centro_Trabalho],$A39,tbConsumo[Tipo_Movimentacao],"Consumo")</f>
        <v>5739.8</v>
      </c>
      <c r="E39" s="31">
        <f>IF(D$43=0,0,D39/D$43)</f>
        <v>0.233266412530175</v>
      </c>
    </row>
    <row r="40">
      <c r="A40" s="28" t="str">
        <f>Parametros!$D$13</f>
        <v>FABRICACAO</v>
      </c>
      <c r="B40" s="29">
        <f>COUNTIFS(tbConsumo[Centro_Trabalho],$A40,tbConsumo[Tipo_Movimentacao],"Consumo")</f>
        <v>32</v>
      </c>
      <c r="C40" s="29">
        <f>SUMIFS(tbConsumo[Quantidade],tbConsumo[Centro_Trabalho],$A40,tbConsumo[Tipo_Movimentacao],"Consumo")</f>
        <v>384</v>
      </c>
      <c r="D40" s="30">
        <f>SUMIFS(tbConsumo[Custo_Movimentado],tbConsumo[Centro_Trabalho],$A40,tbConsumo[Tipo_Movimentacao],"Consumo")</f>
        <v>4806.5</v>
      </c>
      <c r="E40" s="31">
        <f>IF(D$43=0,0,D40/D$43)</f>
        <v>0.195336947598573</v>
      </c>
    </row>
    <row r="41">
      <c r="A41" s="28" t="str">
        <f>Parametros!$D$14</f>
        <v>MECANICA</v>
      </c>
      <c r="B41" s="29">
        <f>COUNTIFS(tbConsumo[Centro_Trabalho],$A41,tbConsumo[Tipo_Movimentacao],"Consumo")</f>
        <v>30</v>
      </c>
      <c r="C41" s="29">
        <f>SUMIFS(tbConsumo[Quantidade],tbConsumo[Centro_Trabalho],$A41,tbConsumo[Tipo_Movimentacao],"Consumo")</f>
        <v>423</v>
      </c>
      <c r="D41" s="30">
        <f>SUMIFS(tbConsumo[Custo_Movimentado],tbConsumo[Centro_Trabalho],$A41,tbConsumo[Tipo_Movimentacao],"Consumo")</f>
        <v>3909.7</v>
      </c>
      <c r="E41" s="31">
        <f>IF(D$43=0,0,D41/D$43)</f>
        <v>0.158890848647902</v>
      </c>
    </row>
    <row r="42">
      <c r="A42" s="28" t="str">
        <f>Parametros!$D$15</f>
        <v>ELETRICA</v>
      </c>
      <c r="B42" s="29">
        <f>COUNTIFS(tbConsumo[Centro_Trabalho],$A42,tbConsumo[Tipo_Movimentacao],"Consumo")</f>
        <v>22</v>
      </c>
      <c r="C42" s="29">
        <f>SUMIFS(tbConsumo[Quantidade],tbConsumo[Centro_Trabalho],$A42,tbConsumo[Tipo_Movimentacao],"Consumo")</f>
        <v>39</v>
      </c>
      <c r="D42" s="30">
        <f>SUMIFS(tbConsumo[Custo_Movimentado],tbConsumo[Centro_Trabalho],$A42,tbConsumo[Tipo_Movimentacao],"Consumo")</f>
        <v>3748</v>
      </c>
      <c r="E42" s="31">
        <f>IF(D$43=0,0,D42/D$43)</f>
        <v>0.152319334151555</v>
      </c>
    </row>
    <row r="43">
      <c r="A43" s="32" t="inlineStr">
        <is>
          <t>Total</t>
        </is>
      </c>
      <c r="B43" s="33">
        <f>SUM(B38:B42)</f>
        <v>180</v>
      </c>
      <c r="C43" s="33">
        <f>SUM(C38:C42)</f>
        <v>1647</v>
      </c>
      <c r="D43" s="34">
        <f>SUM(D38:D42)</f>
        <v>24606.2</v>
      </c>
      <c r="E43" s="35">
        <f>SUM(E38:E42)</f>
        <v>1</v>
      </c>
    </row>
    <row r="45">
      <c r="A45" s="17" t="inlineStr">
        <is>
          <t>5. Resumo por material</t>
        </is>
      </c>
    </row>
    <row r="46">
      <c r="A46" s="18" t="inlineStr">
        <is>
          <t>Material_ID</t>
        </is>
      </c>
      <c r="B46" s="18" t="inlineStr">
        <is>
          <t>Movimentações</t>
        </is>
      </c>
      <c r="C46" s="18" t="inlineStr">
        <is>
          <t>Unidades consumidas</t>
        </is>
      </c>
      <c r="D46" s="18" t="inlineStr">
        <is>
          <t>Custo estimado</t>
        </is>
      </c>
      <c r="E46" s="18" t="inlineStr">
        <is>
          <t>% do custo</t>
        </is>
      </c>
      <c r="F46" s="36" t="inlineStr">
        <is>
          <t>Material</t>
        </is>
      </c>
      <c r="G46" s="36" t="inlineStr">
        <is>
          <t>Categoria</t>
        </is>
      </c>
      <c r="H46" s="36" t="inlineStr">
        <is>
          <t>Criticidade</t>
        </is>
      </c>
      <c r="I46" s="36" t="inlineStr">
        <is>
          <t>Estoque_Atual</t>
        </is>
      </c>
      <c r="J46" s="36" t="inlineStr">
        <is>
          <t>Status_Estoque</t>
        </is>
      </c>
    </row>
    <row r="47">
      <c r="A47" s="28" t="str">
        <f>Materiais!$A$2</f>
        <v>MAT001</v>
      </c>
      <c r="B47" s="29">
        <f>COUNTIFS(tbConsumo[Material_ID],$A47,tbConsumo[Tipo_Movimentacao],"Consumo")</f>
        <v>13</v>
      </c>
      <c r="C47" s="29">
        <f>SUMIFS(tbConsumo[Quantidade],tbConsumo[Material_ID],$A47,tbConsumo[Tipo_Movimentacao],"Consumo")</f>
        <v>169</v>
      </c>
      <c r="D47" s="30">
        <f>SUMIFS(tbConsumo[Custo_Movimentado],tbConsumo[Material_ID],$A47,tbConsumo[Tipo_Movimentacao],"Consumo")</f>
        <v>1656.2</v>
      </c>
      <c r="E47" s="31">
        <f>IF(D$67=0,0,D47/D$67)</f>
        <v>0.0673082393868212</v>
      </c>
      <c r="F47" s="28" t="str">
        <f>IFERROR(INDEX(tbMateriais[Material],MATCH($A47,tbMateriais[Material_ID],0)),"Não encontrado")</f>
        <v>Disco de Desbaste 7 pol</v>
      </c>
      <c r="G47" s="28" t="str">
        <f>IFERROR(INDEX(tbMateriais[Categoria],MATCH($A47,tbMateriais[Material_ID],0)),"Não encontrado")</f>
        <v>Abrasivos</v>
      </c>
      <c r="H47" s="28" t="str">
        <f>IFERROR(INDEX(tbMateriais[Criticidade],MATCH($A47,tbMateriais[Material_ID],0)),"Não encontrado")</f>
        <v>Média</v>
      </c>
      <c r="I47" s="28">
        <f>IFERROR(INDEX(tbEstoque[Estoque_Atual],MATCH($A47,tbEstoque[Material_ID],0)),"Sem estoque")</f>
        <v>120</v>
      </c>
      <c r="J47" s="28" t="str">
        <f>IFERROR(INDEX(tbEstoque[Status_Estoque],MATCH($A47,tbEstoque[Material_ID],0)),"Sem estoque")</f>
        <v>OK</v>
      </c>
    </row>
    <row r="48">
      <c r="A48" s="28" t="str">
        <f>Materiais!$A$3</f>
        <v>MAT002</v>
      </c>
      <c r="B48" s="29">
        <f>COUNTIFS(tbConsumo[Material_ID],$A48,tbConsumo[Tipo_Movimentacao],"Consumo")</f>
        <v>14</v>
      </c>
      <c r="C48" s="29">
        <f>SUMIFS(tbConsumo[Quantidade],tbConsumo[Material_ID],$A48,tbConsumo[Tipo_Movimentacao],"Consumo")</f>
        <v>228</v>
      </c>
      <c r="D48" s="30">
        <f>SUMIFS(tbConsumo[Custo_Movimentado],tbConsumo[Material_ID],$A48,tbConsumo[Tipo_Movimentacao],"Consumo")</f>
        <v>1687.2</v>
      </c>
      <c r="E48" s="31">
        <f>IF(D$67=0,0,D48/D$67)</f>
        <v>0.0685680844665166</v>
      </c>
      <c r="F48" s="28" t="str">
        <f>IFERROR(INDEX(tbMateriais[Material],MATCH($A48,tbMateriais[Material_ID],0)),"Não encontrado")</f>
        <v>Disco Flap 4,5 pol Grão 60</v>
      </c>
      <c r="G48" s="28" t="str">
        <f>IFERROR(INDEX(tbMateriais[Categoria],MATCH($A48,tbMateriais[Material_ID],0)),"Não encontrado")</f>
        <v>Abrasivos</v>
      </c>
      <c r="H48" s="28" t="str">
        <f>IFERROR(INDEX(tbMateriais[Criticidade],MATCH($A48,tbMateriais[Material_ID],0)),"Não encontrado")</f>
        <v>Baixa</v>
      </c>
      <c r="I48" s="28">
        <f>IFERROR(INDEX(tbEstoque[Estoque_Atual],MATCH($A48,tbEstoque[Material_ID],0)),"Sem estoque")</f>
        <v>30</v>
      </c>
      <c r="J48" s="28" t="str">
        <f>IFERROR(INDEX(tbEstoque[Status_Estoque],MATCH($A48,tbEstoque[Material_ID],0)),"Sem estoque")</f>
        <v>REPOR</v>
      </c>
    </row>
    <row r="49">
      <c r="A49" s="28" t="str">
        <f>Materiais!$A$4</f>
        <v>MAT003</v>
      </c>
      <c r="B49" s="29">
        <f>COUNTIFS(tbConsumo[Material_ID],$A49,tbConsumo[Tipo_Movimentacao],"Consumo")</f>
        <v>11</v>
      </c>
      <c r="C49" s="29">
        <f>SUMIFS(tbConsumo[Quantidade],tbConsumo[Material_ID],$A49,tbConsumo[Tipo_Movimentacao],"Consumo")</f>
        <v>22</v>
      </c>
      <c r="D49" s="30">
        <f>SUMIFS(tbConsumo[Custo_Movimentado],tbConsumo[Material_ID],$A49,tbConsumo[Tipo_Movimentacao],"Consumo")</f>
        <v>836</v>
      </c>
      <c r="E49" s="31">
        <f>IF(D$67=0,0,D49/D$67)</f>
        <v>0.0339751769879136</v>
      </c>
      <c r="F49" s="28" t="str">
        <f>IFERROR(INDEX(tbMateriais[Material],MATCH($A49,tbMateriais[Material_ID],0)),"Não encontrado")</f>
        <v>Lixa de Ferro Grão 80</v>
      </c>
      <c r="G49" s="28" t="str">
        <f>IFERROR(INDEX(tbMateriais[Categoria],MATCH($A49,tbMateriais[Material_ID],0)),"Não encontrado")</f>
        <v>Abrasivos</v>
      </c>
      <c r="H49" s="28" t="str">
        <f>IFERROR(INDEX(tbMateriais[Criticidade],MATCH($A49,tbMateriais[Material_ID],0)),"Não encontrado")</f>
        <v>Baixa</v>
      </c>
      <c r="I49" s="28">
        <f>IFERROR(INDEX(tbEstoque[Estoque_Atual],MATCH($A49,tbEstoque[Material_ID],0)),"Sem estoque")</f>
        <v>34</v>
      </c>
      <c r="J49" s="28" t="str">
        <f>IFERROR(INDEX(tbEstoque[Status_Estoque],MATCH($A49,tbEstoque[Material_ID],0)),"Sem estoque")</f>
        <v>OK</v>
      </c>
    </row>
    <row r="50">
      <c r="A50" s="28" t="str">
        <f>Materiais!$A$5</f>
        <v>MAT004</v>
      </c>
      <c r="B50" s="29">
        <f>COUNTIFS(tbConsumo[Material_ID],$A50,tbConsumo[Tipo_Movimentacao],"Consumo")</f>
        <v>12</v>
      </c>
      <c r="C50" s="29">
        <f>SUMIFS(tbConsumo[Quantidade],tbConsumo[Material_ID],$A50,tbConsumo[Tipo_Movimentacao],"Consumo")</f>
        <v>23</v>
      </c>
      <c r="D50" s="30">
        <f>SUMIFS(tbConsumo[Custo_Movimentado],tbConsumo[Material_ID],$A50,tbConsumo[Tipo_Movimentacao],"Consumo")</f>
        <v>1035</v>
      </c>
      <c r="E50" s="31">
        <f>IF(D$67=0,0,D50/D$67)</f>
        <v>0.0420625695962806</v>
      </c>
      <c r="F50" s="28" t="str">
        <f>IFERROR(INDEX(tbMateriais[Material],MATCH($A50,tbMateriais[Material_ID],0)),"Não encontrado")</f>
        <v>Bico de Contato MIG 1,0 mm</v>
      </c>
      <c r="G50" s="28" t="str">
        <f>IFERROR(INDEX(tbMateriais[Categoria],MATCH($A50,tbMateriais[Material_ID],0)),"Não encontrado")</f>
        <v>Soldagem</v>
      </c>
      <c r="H50" s="28" t="str">
        <f>IFERROR(INDEX(tbMateriais[Criticidade],MATCH($A50,tbMateriais[Material_ID],0)),"Não encontrado")</f>
        <v>Média</v>
      </c>
      <c r="I50" s="28">
        <f>IFERROR(INDEX(tbEstoque[Estoque_Atual],MATCH($A50,tbEstoque[Material_ID],0)),"Sem estoque")</f>
        <v>9</v>
      </c>
      <c r="J50" s="28" t="str">
        <f>IFERROR(INDEX(tbEstoque[Status_Estoque],MATCH($A50,tbEstoque[Material_ID],0)),"Sem estoque")</f>
        <v>ATENÇÃO</v>
      </c>
    </row>
    <row r="51">
      <c r="A51" s="28" t="str">
        <f>Materiais!$A$6</f>
        <v>MAT005</v>
      </c>
      <c r="B51" s="29">
        <f>COUNTIFS(tbConsumo[Material_ID],$A51,tbConsumo[Tipo_Movimentacao],"Consumo")</f>
        <v>12</v>
      </c>
      <c r="C51" s="29">
        <f>SUMIFS(tbConsumo[Quantidade],tbConsumo[Material_ID],$A51,tbConsumo[Tipo_Movimentacao],"Consumo")</f>
        <v>29</v>
      </c>
      <c r="D51" s="30">
        <f>SUMIFS(tbConsumo[Custo_Movimentado],tbConsumo[Material_ID],$A51,tbConsumo[Tipo_Movimentacao],"Consumo")</f>
        <v>2784</v>
      </c>
      <c r="E51" s="31">
        <f>IF(D$67=0,0,D51/D$67)</f>
        <v>0.113142216189416</v>
      </c>
      <c r="F51" s="28" t="str">
        <f>IFERROR(INDEX(tbMateriais[Material],MATCH($A51,tbMateriais[Material_ID],0)),"Não encontrado")</f>
        <v>Eletrodo Revestido 2,5 mm</v>
      </c>
      <c r="G51" s="28" t="str">
        <f>IFERROR(INDEX(tbMateriais[Categoria],MATCH($A51,tbMateriais[Material_ID],0)),"Não encontrado")</f>
        <v>Soldagem</v>
      </c>
      <c r="H51" s="28" t="str">
        <f>IFERROR(INDEX(tbMateriais[Criticidade],MATCH($A51,tbMateriais[Material_ID],0)),"Não encontrado")</f>
        <v>Alta</v>
      </c>
      <c r="I51" s="28">
        <f>IFERROR(INDEX(tbEstoque[Estoque_Atual],MATCH($A51,tbEstoque[Material_ID],0)),"Sem estoque")</f>
        <v>7</v>
      </c>
      <c r="J51" s="28" t="str">
        <f>IFERROR(INDEX(tbEstoque[Status_Estoque],MATCH($A51,tbEstoque[Material_ID],0)),"Sem estoque")</f>
        <v>REPOR</v>
      </c>
    </row>
    <row r="52">
      <c r="A52" s="28" t="str">
        <f>Materiais!$A$7</f>
        <v>MAT006</v>
      </c>
      <c r="B52" s="29">
        <f>COUNTIFS(tbConsumo[Material_ID],$A52,tbConsumo[Tipo_Movimentacao],"Consumo")</f>
        <v>4</v>
      </c>
      <c r="C52" s="29">
        <f>SUMIFS(tbConsumo[Quantidade],tbConsumo[Material_ID],$A52,tbConsumo[Tipo_Movimentacao],"Consumo")</f>
        <v>5</v>
      </c>
      <c r="D52" s="30">
        <f>SUMIFS(tbConsumo[Custo_Movimentado],tbConsumo[Material_ID],$A52,tbConsumo[Tipo_Movimentacao],"Consumo")</f>
        <v>1050</v>
      </c>
      <c r="E52" s="31">
        <f>IF(D$67=0,0,D52/D$67)</f>
        <v>0.0426721720541977</v>
      </c>
      <c r="F52" s="28" t="str">
        <f>IFERROR(INDEX(tbMateriais[Material],MATCH($A52,tbMateriais[Material_ID],0)),"Não encontrado")</f>
        <v>Arame MIG 1,0 mm Bobina</v>
      </c>
      <c r="G52" s="28" t="str">
        <f>IFERROR(INDEX(tbMateriais[Categoria],MATCH($A52,tbMateriais[Material_ID],0)),"Não encontrado")</f>
        <v>Soldagem</v>
      </c>
      <c r="H52" s="28" t="str">
        <f>IFERROR(INDEX(tbMateriais[Criticidade],MATCH($A52,tbMateriais[Material_ID],0)),"Não encontrado")</f>
        <v>Alta</v>
      </c>
      <c r="I52" s="28">
        <f>IFERROR(INDEX(tbEstoque[Estoque_Atual],MATCH($A52,tbEstoque[Material_ID],0)),"Sem estoque")</f>
        <v>14</v>
      </c>
      <c r="J52" s="28" t="str">
        <f>IFERROR(INDEX(tbEstoque[Status_Estoque],MATCH($A52,tbEstoque[Material_ID],0)),"Sem estoque")</f>
        <v>OK</v>
      </c>
    </row>
    <row r="53">
      <c r="A53" s="28" t="str">
        <f>Materiais!$A$8</f>
        <v>MAT007</v>
      </c>
      <c r="B53" s="29">
        <f>COUNTIFS(tbConsumo[Material_ID],$A53,tbConsumo[Tipo_Movimentacao],"Consumo")</f>
        <v>14</v>
      </c>
      <c r="C53" s="29">
        <f>SUMIFS(tbConsumo[Quantidade],tbConsumo[Material_ID],$A53,tbConsumo[Tipo_Movimentacao],"Consumo")</f>
        <v>244</v>
      </c>
      <c r="D53" s="30">
        <f>SUMIFS(tbConsumo[Custo_Movimentado],tbConsumo[Material_ID],$A53,tbConsumo[Tipo_Movimentacao],"Consumo")</f>
        <v>3050</v>
      </c>
      <c r="E53" s="31">
        <f>IF(D$67=0,0,D53/D$67)</f>
        <v>0.123952499776479</v>
      </c>
      <c r="F53" s="28" t="str">
        <f>IFERROR(INDEX(tbMateriais[Material],MATCH($A53,tbMateriais[Material_ID],0)),"Não encontrado")</f>
        <v>Disco de Corte 7 pol</v>
      </c>
      <c r="G53" s="28" t="str">
        <f>IFERROR(INDEX(tbMateriais[Categoria],MATCH($A53,tbMateriais[Material_ID],0)),"Não encontrado")</f>
        <v>Corte</v>
      </c>
      <c r="H53" s="28" t="str">
        <f>IFERROR(INDEX(tbMateriais[Criticidade],MATCH($A53,tbMateriais[Material_ID],0)),"Não encontrado")</f>
        <v>Alta</v>
      </c>
      <c r="I53" s="28">
        <f>IFERROR(INDEX(tbEstoque[Estoque_Atual],MATCH($A53,tbEstoque[Material_ID],0)),"Sem estoque")</f>
        <v>74</v>
      </c>
      <c r="J53" s="28" t="str">
        <f>IFERROR(INDEX(tbEstoque[Status_Estoque],MATCH($A53,tbEstoque[Material_ID],0)),"Sem estoque")</f>
        <v>ATENÇÃO</v>
      </c>
    </row>
    <row r="54">
      <c r="A54" s="28" t="str">
        <f>Materiais!$A$9</f>
        <v>MAT008</v>
      </c>
      <c r="B54" s="29">
        <f>COUNTIFS(tbConsumo[Material_ID],$A54,tbConsumo[Tipo_Movimentacao],"Consumo")</f>
        <v>22</v>
      </c>
      <c r="C54" s="29">
        <f>SUMIFS(tbConsumo[Quantidade],tbConsumo[Material_ID],$A54,tbConsumo[Tipo_Movimentacao],"Consumo")</f>
        <v>687</v>
      </c>
      <c r="D54" s="30">
        <f>SUMIFS(tbConsumo[Custo_Movimentado],tbConsumo[Material_ID],$A54,tbConsumo[Tipo_Movimentacao],"Consumo")</f>
        <v>4053.3</v>
      </c>
      <c r="E54" s="31">
        <f>IF(D$67=0,0,D54/D$67)</f>
        <v>0.164726776178362</v>
      </c>
      <c r="F54" s="28" t="str">
        <f>IFERROR(INDEX(tbMateriais[Material],MATCH($A54,tbMateriais[Material_ID],0)),"Não encontrado")</f>
        <v>Disco de Corte 4,5 pol</v>
      </c>
      <c r="G54" s="28" t="str">
        <f>IFERROR(INDEX(tbMateriais[Categoria],MATCH($A54,tbMateriais[Material_ID],0)),"Não encontrado")</f>
        <v>Corte</v>
      </c>
      <c r="H54" s="28" t="str">
        <f>IFERROR(INDEX(tbMateriais[Criticidade],MATCH($A54,tbMateriais[Material_ID],0)),"Não encontrado")</f>
        <v>Média</v>
      </c>
      <c r="I54" s="28">
        <f>IFERROR(INDEX(tbEstoque[Estoque_Atual],MATCH($A54,tbEstoque[Material_ID],0)),"Sem estoque")</f>
        <v>210</v>
      </c>
      <c r="J54" s="28" t="str">
        <f>IFERROR(INDEX(tbEstoque[Status_Estoque],MATCH($A54,tbEstoque[Material_ID],0)),"Sem estoque")</f>
        <v>OK</v>
      </c>
    </row>
    <row r="55">
      <c r="A55" s="28" t="str">
        <f>Materiais!$A$10</f>
        <v>MAT009</v>
      </c>
      <c r="B55" s="29">
        <f>COUNTIFS(tbConsumo[Material_ID],$A55,tbConsumo[Tipo_Movimentacao],"Consumo")</f>
        <v>5</v>
      </c>
      <c r="C55" s="29">
        <f>SUMIFS(tbConsumo[Quantidade],tbConsumo[Material_ID],$A55,tbConsumo[Tipo_Movimentacao],"Consumo")</f>
        <v>6</v>
      </c>
      <c r="D55" s="30">
        <f>SUMIFS(tbConsumo[Custo_Movimentado],tbConsumo[Material_ID],$A55,tbConsumo[Tipo_Movimentacao],"Consumo")</f>
        <v>276</v>
      </c>
      <c r="E55" s="31">
        <f>IF(D$67=0,0,D55/D$67)</f>
        <v>0.0112166852256748</v>
      </c>
      <c r="F55" s="28" t="str">
        <f>IFERROR(INDEX(tbMateriais[Material],MATCH($A55,tbMateriais[Material_ID],0)),"Não encontrado")</f>
        <v>Serra Copo 51 mm</v>
      </c>
      <c r="G55" s="28" t="str">
        <f>IFERROR(INDEX(tbMateriais[Categoria],MATCH($A55,tbMateriais[Material_ID],0)),"Não encontrado")</f>
        <v>Corte</v>
      </c>
      <c r="H55" s="28" t="str">
        <f>IFERROR(INDEX(tbMateriais[Criticidade],MATCH($A55,tbMateriais[Material_ID],0)),"Não encontrado")</f>
        <v>Baixa</v>
      </c>
      <c r="I55" s="28">
        <f>IFERROR(INDEX(tbEstoque[Estoque_Atual],MATCH($A55,tbEstoque[Material_ID],0)),"Sem estoque")</f>
        <v>12</v>
      </c>
      <c r="J55" s="28" t="str">
        <f>IFERROR(INDEX(tbEstoque[Status_Estoque],MATCH($A55,tbEstoque[Material_ID],0)),"Sem estoque")</f>
        <v>OK</v>
      </c>
    </row>
    <row r="56">
      <c r="A56" s="28" t="str">
        <f>Materiais!$A$11</f>
        <v>MAT010</v>
      </c>
      <c r="B56" s="29">
        <f>COUNTIFS(tbConsumo[Material_ID],$A56,tbConsumo[Tipo_Movimentacao],"Consumo")</f>
        <v>2</v>
      </c>
      <c r="C56" s="29">
        <f>SUMIFS(tbConsumo[Quantidade],tbConsumo[Material_ID],$A56,tbConsumo[Tipo_Movimentacao],"Consumo")</f>
        <v>3</v>
      </c>
      <c r="D56" s="30">
        <f>SUMIFS(tbConsumo[Custo_Movimentado],tbConsumo[Material_ID],$A56,tbConsumo[Tipo_Movimentacao],"Consumo")</f>
        <v>186</v>
      </c>
      <c r="E56" s="31">
        <f>IF(D$67=0,0,D56/D$67)</f>
        <v>0.00755907047817217</v>
      </c>
      <c r="F56" s="28" t="str">
        <f>IFERROR(INDEX(tbMateriais[Material],MATCH($A56,tbMateriais[Material_ID],0)),"Não encontrado")</f>
        <v>Lâmina de Serra Sabre</v>
      </c>
      <c r="G56" s="28" t="str">
        <f>IFERROR(INDEX(tbMateriais[Categoria],MATCH($A56,tbMateriais[Material_ID],0)),"Não encontrado")</f>
        <v>Corte</v>
      </c>
      <c r="H56" s="28" t="str">
        <f>IFERROR(INDEX(tbMateriais[Criticidade],MATCH($A56,tbMateriais[Material_ID],0)),"Não encontrado")</f>
        <v>Média</v>
      </c>
      <c r="I56" s="28">
        <f>IFERROR(INDEX(tbEstoque[Estoque_Atual],MATCH($A56,tbEstoque[Material_ID],0)),"Sem estoque")</f>
        <v>5</v>
      </c>
      <c r="J56" s="28" t="str">
        <f>IFERROR(INDEX(tbEstoque[Status_Estoque],MATCH($A56,tbEstoque[Material_ID],0)),"Sem estoque")</f>
        <v>REPOR</v>
      </c>
    </row>
    <row r="57">
      <c r="A57" s="28" t="str">
        <f>Materiais!$A$12</f>
        <v>MAT011</v>
      </c>
      <c r="B57" s="29">
        <f>COUNTIFS(tbConsumo[Material_ID],$A57,tbConsumo[Tipo_Movimentacao],"Consumo")</f>
        <v>9</v>
      </c>
      <c r="C57" s="29">
        <f>SUMIFS(tbConsumo[Quantidade],tbConsumo[Material_ID],$A57,tbConsumo[Tipo_Movimentacao],"Consumo")</f>
        <v>11</v>
      </c>
      <c r="D57" s="30">
        <f>SUMIFS(tbConsumo[Custo_Movimentado],tbConsumo[Material_ID],$A57,tbConsumo[Tipo_Movimentacao],"Consumo")</f>
        <v>3135</v>
      </c>
      <c r="E57" s="31">
        <f>IF(D$67=0,0,D57/D$67)</f>
        <v>0.127406913704676</v>
      </c>
      <c r="F57" s="28" t="str">
        <f>IFERROR(INDEX(tbMateriais[Material],MATCH($A57,tbMateriais[Material_ID],0)),"Não encontrado")</f>
        <v>Cabo Flexível 2,5 mm² Rolo</v>
      </c>
      <c r="G57" s="28" t="str">
        <f>IFERROR(INDEX(tbMateriais[Categoria],MATCH($A57,tbMateriais[Material_ID],0)),"Não encontrado")</f>
        <v>Elétrica</v>
      </c>
      <c r="H57" s="28" t="str">
        <f>IFERROR(INDEX(tbMateriais[Criticidade],MATCH($A57,tbMateriais[Material_ID],0)),"Não encontrado")</f>
        <v>Média</v>
      </c>
      <c r="I57" s="28">
        <f>IFERROR(INDEX(tbEstoque[Estoque_Atual],MATCH($A57,tbEstoque[Material_ID],0)),"Sem estoque")</f>
        <v>8</v>
      </c>
      <c r="J57" s="28" t="str">
        <f>IFERROR(INDEX(tbEstoque[Status_Estoque],MATCH($A57,tbEstoque[Material_ID],0)),"Sem estoque")</f>
        <v>OK</v>
      </c>
    </row>
    <row r="58">
      <c r="A58" s="28" t="str">
        <f>Materiais!$A$13</f>
        <v>MAT012</v>
      </c>
      <c r="B58" s="29">
        <f>COUNTIFS(tbConsumo[Material_ID],$A58,tbConsumo[Tipo_Movimentacao],"Consumo")</f>
        <v>6</v>
      </c>
      <c r="C58" s="29">
        <f>SUMIFS(tbConsumo[Quantidade],tbConsumo[Material_ID],$A58,tbConsumo[Tipo_Movimentacao],"Consumo")</f>
        <v>11</v>
      </c>
      <c r="D58" s="30">
        <f>SUMIFS(tbConsumo[Custo_Movimentado],tbConsumo[Material_ID],$A58,tbConsumo[Tipo_Movimentacao],"Consumo")</f>
        <v>462</v>
      </c>
      <c r="E58" s="31">
        <f>IF(D$67=0,0,D58/D$67)</f>
        <v>0.018775755703847</v>
      </c>
      <c r="F58" s="28" t="str">
        <f>IFERROR(INDEX(tbMateriais[Material],MATCH($A58,tbMateriais[Material_ID],0)),"Não encontrado")</f>
        <v>Fita Isolante 19 mm</v>
      </c>
      <c r="G58" s="28" t="str">
        <f>IFERROR(INDEX(tbMateriais[Categoria],MATCH($A58,tbMateriais[Material_ID],0)),"Não encontrado")</f>
        <v>Elétrica</v>
      </c>
      <c r="H58" s="28" t="str">
        <f>IFERROR(INDEX(tbMateriais[Criticidade],MATCH($A58,tbMateriais[Material_ID],0)),"Não encontrado")</f>
        <v>Baixa</v>
      </c>
      <c r="I58" s="28">
        <f>IFERROR(INDEX(tbEstoque[Estoque_Atual],MATCH($A58,tbEstoque[Material_ID],0)),"Sem estoque")</f>
        <v>25</v>
      </c>
      <c r="J58" s="28" t="str">
        <f>IFERROR(INDEX(tbEstoque[Status_Estoque],MATCH($A58,tbEstoque[Material_ID],0)),"Sem estoque")</f>
        <v>OK</v>
      </c>
    </row>
    <row r="59">
      <c r="A59" s="28" t="str">
        <f>Materiais!$A$14</f>
        <v>MAT013</v>
      </c>
      <c r="B59" s="29">
        <f>COUNTIFS(tbConsumo[Material_ID],$A59,tbConsumo[Tipo_Movimentacao],"Consumo")</f>
        <v>9</v>
      </c>
      <c r="C59" s="29">
        <f>SUMIFS(tbConsumo[Quantidade],tbConsumo[Material_ID],$A59,tbConsumo[Tipo_Movimentacao],"Consumo")</f>
        <v>16</v>
      </c>
      <c r="D59" s="30">
        <f>SUMIFS(tbConsumo[Custo_Movimentado],tbConsumo[Material_ID],$A59,tbConsumo[Tipo_Movimentacao],"Consumo")</f>
        <v>448</v>
      </c>
      <c r="E59" s="31">
        <f>IF(D$67=0,0,D59/D$67)</f>
        <v>0.018206793409791</v>
      </c>
      <c r="F59" s="28" t="str">
        <f>IFERROR(INDEX(tbMateriais[Material],MATCH($A59,tbMateriais[Material_ID],0)),"Não encontrado")</f>
        <v>Terminal de Compressão 6 mm²</v>
      </c>
      <c r="G59" s="28" t="str">
        <f>IFERROR(INDEX(tbMateriais[Categoria],MATCH($A59,tbMateriais[Material_ID],0)),"Não encontrado")</f>
        <v>Elétrica</v>
      </c>
      <c r="H59" s="28" t="str">
        <f>IFERROR(INDEX(tbMateriais[Criticidade],MATCH($A59,tbMateriais[Material_ID],0)),"Não encontrado")</f>
        <v>Média</v>
      </c>
      <c r="I59" s="28">
        <f>IFERROR(INDEX(tbEstoque[Estoque_Atual],MATCH($A59,tbEstoque[Material_ID],0)),"Sem estoque")</f>
        <v>14</v>
      </c>
      <c r="J59" s="28" t="str">
        <f>IFERROR(INDEX(tbEstoque[Status_Estoque],MATCH($A59,tbEstoque[Material_ID],0)),"Sem estoque")</f>
        <v>ATENÇÃO</v>
      </c>
    </row>
    <row r="60">
      <c r="A60" s="28" t="str">
        <f>Materiais!$A$15</f>
        <v>MAT014</v>
      </c>
      <c r="B60" s="29">
        <f>COUNTIFS(tbConsumo[Material_ID],$A60,tbConsumo[Tipo_Movimentacao],"Consumo")</f>
        <v>4</v>
      </c>
      <c r="C60" s="29">
        <f>SUMIFS(tbConsumo[Quantidade],tbConsumo[Material_ID],$A60,tbConsumo[Tipo_Movimentacao],"Consumo")</f>
        <v>7</v>
      </c>
      <c r="D60" s="30">
        <f>SUMIFS(tbConsumo[Custo_Movimentado],tbConsumo[Material_ID],$A60,tbConsumo[Tipo_Movimentacao],"Consumo")</f>
        <v>826</v>
      </c>
      <c r="E60" s="31">
        <f>IF(D$67=0,0,D60/D$67)</f>
        <v>0.0335687753493022</v>
      </c>
      <c r="F60" s="28" t="str">
        <f>IFERROR(INDEX(tbMateriais[Material],MATCH($A60,tbMateriais[Material_ID],0)),"Não encontrado")</f>
        <v>Disjuntor Tripolar 32 A</v>
      </c>
      <c r="G60" s="28" t="str">
        <f>IFERROR(INDEX(tbMateriais[Categoria],MATCH($A60,tbMateriais[Material_ID],0)),"Não encontrado")</f>
        <v>Elétrica</v>
      </c>
      <c r="H60" s="28" t="str">
        <f>IFERROR(INDEX(tbMateriais[Criticidade],MATCH($A60,tbMateriais[Material_ID],0)),"Não encontrado")</f>
        <v>Alta</v>
      </c>
      <c r="I60" s="28">
        <f>IFERROR(INDEX(tbEstoque[Estoque_Atual],MATCH($A60,tbEstoque[Material_ID],0)),"Sem estoque")</f>
        <v>3</v>
      </c>
      <c r="J60" s="28" t="str">
        <f>IFERROR(INDEX(tbEstoque[Status_Estoque],MATCH($A60,tbEstoque[Material_ID],0)),"Sem estoque")</f>
        <v>REPOR</v>
      </c>
    </row>
    <row r="61">
      <c r="A61" s="28" t="str">
        <f>Materiais!$A$16</f>
        <v>MAT015</v>
      </c>
      <c r="B61" s="29">
        <f>COUNTIFS(tbConsumo[Material_ID],$A61,tbConsumo[Tipo_Movimentacao],"Consumo")</f>
        <v>18</v>
      </c>
      <c r="C61" s="29">
        <f>SUMIFS(tbConsumo[Quantidade],tbConsumo[Material_ID],$A61,tbConsumo[Tipo_Movimentacao],"Consumo")</f>
        <v>102</v>
      </c>
      <c r="D61" s="30">
        <f>SUMIFS(tbConsumo[Custo_Movimentado],tbConsumo[Material_ID],$A61,tbConsumo[Tipo_Movimentacao],"Consumo")</f>
        <v>1530</v>
      </c>
      <c r="E61" s="31">
        <f>IF(D$67=0,0,D61/D$67)</f>
        <v>0.0621794507075453</v>
      </c>
      <c r="F61" s="28" t="str">
        <f>IFERROR(INDEX(tbMateriais[Material],MATCH($A61,tbMateriais[Material_ID],0)),"Não encontrado")</f>
        <v>Luva de Raspa</v>
      </c>
      <c r="G61" s="28" t="str">
        <f>IFERROR(INDEX(tbMateriais[Categoria],MATCH($A61,tbMateriais[Material_ID],0)),"Não encontrado")</f>
        <v>EPI</v>
      </c>
      <c r="H61" s="28" t="str">
        <f>IFERROR(INDEX(tbMateriais[Criticidade],MATCH($A61,tbMateriais[Material_ID],0)),"Não encontrado")</f>
        <v>Média</v>
      </c>
      <c r="I61" s="28">
        <f>IFERROR(INDEX(tbEstoque[Estoque_Atual],MATCH($A61,tbEstoque[Material_ID],0)),"Sem estoque")</f>
        <v>22</v>
      </c>
      <c r="J61" s="28" t="str">
        <f>IFERROR(INDEX(tbEstoque[Status_Estoque],MATCH($A61,tbEstoque[Material_ID],0)),"Sem estoque")</f>
        <v>REPOR</v>
      </c>
    </row>
    <row r="62">
      <c r="A62" s="28" t="str">
        <f>Materiais!$A$17</f>
        <v>MAT016</v>
      </c>
      <c r="B62" s="29">
        <f>COUNTIFS(tbConsumo[Material_ID],$A62,tbConsumo[Tipo_Movimentacao],"Consumo")</f>
        <v>10</v>
      </c>
      <c r="C62" s="29">
        <f>SUMIFS(tbConsumo[Quantidade],tbConsumo[Material_ID],$A62,tbConsumo[Tipo_Movimentacao],"Consumo")</f>
        <v>55</v>
      </c>
      <c r="D62" s="30">
        <f>SUMIFS(tbConsumo[Custo_Movimentado],tbConsumo[Material_ID],$A62,tbConsumo[Tipo_Movimentacao],"Consumo")</f>
        <v>357.5</v>
      </c>
      <c r="E62" s="31">
        <f>IF(D$67=0,0,D62/D$67)</f>
        <v>0.0145288585803578</v>
      </c>
      <c r="F62" s="28" t="str">
        <f>IFERROR(INDEX(tbMateriais[Material],MATCH($A62,tbMateriais[Material_ID],0)),"Não encontrado")</f>
        <v>Óculos de Proteção Incolor</v>
      </c>
      <c r="G62" s="28" t="str">
        <f>IFERROR(INDEX(tbMateriais[Categoria],MATCH($A62,tbMateriais[Material_ID],0)),"Não encontrado")</f>
        <v>EPI</v>
      </c>
      <c r="H62" s="28" t="str">
        <f>IFERROR(INDEX(tbMateriais[Criticidade],MATCH($A62,tbMateriais[Material_ID],0)),"Não encontrado")</f>
        <v>Média</v>
      </c>
      <c r="I62" s="28">
        <f>IFERROR(INDEX(tbEstoque[Estoque_Atual],MATCH($A62,tbEstoque[Material_ID],0)),"Sem estoque")</f>
        <v>90</v>
      </c>
      <c r="J62" s="28" t="str">
        <f>IFERROR(INDEX(tbEstoque[Status_Estoque],MATCH($A62,tbEstoque[Material_ID],0)),"Sem estoque")</f>
        <v>OK</v>
      </c>
    </row>
    <row r="63">
      <c r="A63" s="28" t="str">
        <f>Materiais!$A$18</f>
        <v>MAT017</v>
      </c>
      <c r="B63" s="29">
        <f>COUNTIFS(tbConsumo[Material_ID],$A63,tbConsumo[Tipo_Movimentacao],"Consumo")</f>
        <v>6</v>
      </c>
      <c r="C63" s="29">
        <f>SUMIFS(tbConsumo[Quantidade],tbConsumo[Material_ID],$A63,tbConsumo[Tipo_Movimentacao],"Consumo")</f>
        <v>12</v>
      </c>
      <c r="D63" s="30">
        <f>SUMIFS(tbConsumo[Custo_Movimentado],tbConsumo[Material_ID],$A63,tbConsumo[Tipo_Movimentacao],"Consumo")</f>
        <v>864</v>
      </c>
      <c r="E63" s="31">
        <f>IF(D$67=0,0,D63/D$67)</f>
        <v>0.0351131015760256</v>
      </c>
      <c r="F63" s="28" t="str">
        <f>IFERROR(INDEX(tbMateriais[Material],MATCH($A63,tbMateriais[Material_ID],0)),"Não encontrado")</f>
        <v>Máscara Respiratória PFF2</v>
      </c>
      <c r="G63" s="28" t="str">
        <f>IFERROR(INDEX(tbMateriais[Categoria],MATCH($A63,tbMateriais[Material_ID],0)),"Não encontrado")</f>
        <v>EPI</v>
      </c>
      <c r="H63" s="28" t="str">
        <f>IFERROR(INDEX(tbMateriais[Criticidade],MATCH($A63,tbMateriais[Material_ID],0)),"Não encontrado")</f>
        <v>Alta</v>
      </c>
      <c r="I63" s="28">
        <f>IFERROR(INDEX(tbEstoque[Estoque_Atual],MATCH($A63,tbEstoque[Material_ID],0)),"Sem estoque")</f>
        <v>11</v>
      </c>
      <c r="J63" s="28" t="str">
        <f>IFERROR(INDEX(tbEstoque[Status_Estoque],MATCH($A63,tbEstoque[Material_ID],0)),"Sem estoque")</f>
        <v>ATENÇÃO</v>
      </c>
    </row>
    <row r="64">
      <c r="A64" s="28" t="str">
        <f>Materiais!$A$19</f>
        <v>MAT018</v>
      </c>
      <c r="B64" s="29">
        <f>COUNTIFS(tbConsumo[Material_ID],$A64,tbConsumo[Tipo_Movimentacao],"Consumo")</f>
        <v>3</v>
      </c>
      <c r="C64" s="29">
        <f>SUMIFS(tbConsumo[Quantidade],tbConsumo[Material_ID],$A64,tbConsumo[Tipo_Movimentacao],"Consumo")</f>
        <v>5</v>
      </c>
      <c r="D64" s="30">
        <f>SUMIFS(tbConsumo[Custo_Movimentado],tbConsumo[Material_ID],$A64,tbConsumo[Tipo_Movimentacao],"Consumo")</f>
        <v>120</v>
      </c>
      <c r="E64" s="31">
        <f>IF(D$67=0,0,D64/D$67)</f>
        <v>0.00487681966333688</v>
      </c>
      <c r="F64" s="28" t="str">
        <f>IFERROR(INDEX(tbMateriais[Material],MATCH($A64,tbMateriais[Material_ID],0)),"Não encontrado")</f>
        <v>Chave Combinada 17 mm</v>
      </c>
      <c r="G64" s="28" t="str">
        <f>IFERROR(INDEX(tbMateriais[Categoria],MATCH($A64,tbMateriais[Material_ID],0)),"Não encontrado")</f>
        <v>Ferramentas</v>
      </c>
      <c r="H64" s="28" t="str">
        <f>IFERROR(INDEX(tbMateriais[Criticidade],MATCH($A64,tbMateriais[Material_ID],0)),"Não encontrado")</f>
        <v>Baixa</v>
      </c>
      <c r="I64" s="28">
        <f>IFERROR(INDEX(tbEstoque[Estoque_Atual],MATCH($A64,tbEstoque[Material_ID],0)),"Sem estoque")</f>
        <v>12</v>
      </c>
      <c r="J64" s="28" t="str">
        <f>IFERROR(INDEX(tbEstoque[Status_Estoque],MATCH($A64,tbEstoque[Material_ID],0)),"Sem estoque")</f>
        <v>OK</v>
      </c>
    </row>
    <row r="65">
      <c r="A65" s="28" t="str">
        <f>Materiais!$A$20</f>
        <v>MAT019</v>
      </c>
      <c r="B65" s="29">
        <f>COUNTIFS(tbConsumo[Material_ID],$A65,tbConsumo[Tipo_Movimentacao],"Consumo")</f>
        <v>1</v>
      </c>
      <c r="C65" s="29">
        <f>SUMIFS(tbConsumo[Quantidade],tbConsumo[Material_ID],$A65,tbConsumo[Tipo_Movimentacao],"Consumo")</f>
        <v>1</v>
      </c>
      <c r="D65" s="30">
        <f>SUMIFS(tbConsumo[Custo_Movimentado],tbConsumo[Material_ID],$A65,tbConsumo[Tipo_Movimentacao],"Consumo")</f>
        <v>19</v>
      </c>
      <c r="E65" s="31">
        <f>IF(D$67=0,0,D65/D$67)</f>
        <v>0.000772163113361673</v>
      </c>
      <c r="F65" s="28" t="str">
        <f>IFERROR(INDEX(tbMateriais[Material],MATCH($A65,tbMateriais[Material_ID],0)),"Não encontrado")</f>
        <v>Trena de Aço 5 m</v>
      </c>
      <c r="G65" s="28" t="str">
        <f>IFERROR(INDEX(tbMateriais[Categoria],MATCH($A65,tbMateriais[Material_ID],0)),"Não encontrado")</f>
        <v>Ferramentas</v>
      </c>
      <c r="H65" s="28" t="str">
        <f>IFERROR(INDEX(tbMateriais[Criticidade],MATCH($A65,tbMateriais[Material_ID],0)),"Não encontrado")</f>
        <v>Baixa</v>
      </c>
      <c r="I65" s="28">
        <f>IFERROR(INDEX(tbEstoque[Estoque_Atual],MATCH($A65,tbEstoque[Material_ID],0)),"Sem estoque")</f>
        <v>9</v>
      </c>
      <c r="J65" s="28" t="str">
        <f>IFERROR(INDEX(tbEstoque[Status_Estoque],MATCH($A65,tbEstoque[Material_ID],0)),"Sem estoque")</f>
        <v>OK</v>
      </c>
    </row>
    <row r="66">
      <c r="A66" s="28" t="str">
        <f>Materiais!$A$21</f>
        <v>MAT020</v>
      </c>
      <c r="B66" s="29">
        <f>COUNTIFS(tbConsumo[Material_ID],$A66,tbConsumo[Tipo_Movimentacao],"Consumo")</f>
        <v>5</v>
      </c>
      <c r="C66" s="29">
        <f>SUMIFS(tbConsumo[Quantidade],tbConsumo[Material_ID],$A66,tbConsumo[Tipo_Movimentacao],"Consumo")</f>
        <v>11</v>
      </c>
      <c r="D66" s="30">
        <f>SUMIFS(tbConsumo[Custo_Movimentado],tbConsumo[Material_ID],$A66,tbConsumo[Tipo_Movimentacao],"Consumo")</f>
        <v>231</v>
      </c>
      <c r="E66" s="31">
        <f>IF(D$67=0,0,D66/D$67)</f>
        <v>0.0093878778519235</v>
      </c>
      <c r="F66" s="28" t="str">
        <f>IFERROR(INDEX(tbMateriais[Material],MATCH($A66,tbMateriais[Material_ID],0)),"Não encontrado")</f>
        <v>Broca de Aço Rápido 10 mm</v>
      </c>
      <c r="G66" s="28" t="str">
        <f>IFERROR(INDEX(tbMateriais[Categoria],MATCH($A66,tbMateriais[Material_ID],0)),"Não encontrado")</f>
        <v>Ferramentas</v>
      </c>
      <c r="H66" s="28" t="str">
        <f>IFERROR(INDEX(tbMateriais[Criticidade],MATCH($A66,tbMateriais[Material_ID],0)),"Não encontrado")</f>
        <v>Média</v>
      </c>
      <c r="I66" s="28">
        <f>IFERROR(INDEX(tbEstoque[Estoque_Atual],MATCH($A66,tbEstoque[Material_ID],0)),"Sem estoque")</f>
        <v>26</v>
      </c>
      <c r="J66" s="28" t="str">
        <f>IFERROR(INDEX(tbEstoque[Status_Estoque],MATCH($A66,tbEstoque[Material_ID],0)),"Sem estoque")</f>
        <v>OK</v>
      </c>
    </row>
    <row r="67">
      <c r="A67" s="32" t="inlineStr">
        <is>
          <t>Total</t>
        </is>
      </c>
      <c r="B67" s="33">
        <f>SUM(B47:B66)</f>
        <v>180</v>
      </c>
      <c r="C67" s="33">
        <f>SUM(C47:C66)</f>
        <v>1647</v>
      </c>
      <c r="D67" s="34">
        <f>SUM(D47:D66)</f>
        <v>24606.2</v>
      </c>
      <c r="E67" s="35">
        <f>SUM(E47:E66)</f>
        <v>1</v>
      </c>
    </row>
    <row r="70">
      <c r="A70" s="17" t="inlineStr">
        <is>
          <t>6. Conferências internas (cada resumo deve fechar com o KPI)</t>
        </is>
      </c>
    </row>
    <row r="71">
      <c r="A71" s="18" t="inlineStr">
        <is>
          <t>Conferência</t>
        </is>
      </c>
      <c r="B71" s="18" t="inlineStr">
        <is>
          <t>Total do resumo</t>
        </is>
      </c>
      <c r="C71" s="18" t="inlineStr">
        <is>
          <t>KPI</t>
        </is>
      </c>
      <c r="D71" s="18" t="inlineStr">
        <is>
          <t>Diferença</t>
        </is>
      </c>
      <c r="E71" s="18" t="inlineStr">
        <is>
          <t>Status</t>
        </is>
      </c>
    </row>
    <row r="72">
      <c r="A72" s="28" t="inlineStr">
        <is>
          <t>Soma por mês = Movimentações</t>
        </is>
      </c>
      <c r="B72" s="30">
        <f>B24</f>
        <v>180</v>
      </c>
      <c r="C72" s="30">
        <f>$B$8</f>
        <v>180</v>
      </c>
      <c r="D72" s="30">
        <f>B72-C72</f>
        <v>0</v>
      </c>
      <c r="E72" s="28" t="str">
        <f>IF(ABS(D72)&lt;0.005,"OK","DIVERGE")</f>
        <v>OK</v>
      </c>
    </row>
    <row r="73">
      <c r="A73" s="28" t="inlineStr">
        <is>
          <t>Soma por mês = Unidades</t>
        </is>
      </c>
      <c r="B73" s="30">
        <f>C24</f>
        <v>1647</v>
      </c>
      <c r="C73" s="30">
        <f>$B$6</f>
        <v>1647</v>
      </c>
      <c r="D73" s="30">
        <f>B73-C73</f>
        <v>0</v>
      </c>
      <c r="E73" s="28" t="str">
        <f>IF(ABS(D73)&lt;0.005,"OK","DIVERGE")</f>
        <v>OK</v>
      </c>
    </row>
    <row r="74">
      <c r="A74" s="28" t="inlineStr">
        <is>
          <t>Soma por mês = Custo estimado</t>
        </is>
      </c>
      <c r="B74" s="30">
        <f>D24</f>
        <v>24606.2</v>
      </c>
      <c r="C74" s="30">
        <f>$B$7</f>
        <v>24606.2</v>
      </c>
      <c r="D74" s="30">
        <f>B74-C74</f>
        <v>0</v>
      </c>
      <c r="E74" s="28" t="str">
        <f>IF(ABS(D74)&lt;0.005,"OK","DIVERGE")</f>
        <v>OK</v>
      </c>
    </row>
    <row r="75">
      <c r="A75" s="28" t="inlineStr">
        <is>
          <t>Soma por categoria = Movimentações</t>
        </is>
      </c>
      <c r="B75" s="30">
        <f>B34</f>
        <v>180</v>
      </c>
      <c r="C75" s="30">
        <f>$B$8</f>
        <v>180</v>
      </c>
      <c r="D75" s="30">
        <f>B75-C75</f>
        <v>0</v>
      </c>
      <c r="E75" s="28" t="str">
        <f>IF(ABS(D75)&lt;0.005,"OK","DIVERGE")</f>
        <v>OK</v>
      </c>
    </row>
    <row r="76">
      <c r="A76" s="28" t="inlineStr">
        <is>
          <t>Soma por categoria = Unidades</t>
        </is>
      </c>
      <c r="B76" s="30">
        <f>C34</f>
        <v>1647</v>
      </c>
      <c r="C76" s="30">
        <f>$B$6</f>
        <v>1647</v>
      </c>
      <c r="D76" s="30">
        <f>B76-C76</f>
        <v>0</v>
      </c>
      <c r="E76" s="28" t="str">
        <f>IF(ABS(D76)&lt;0.005,"OK","DIVERGE")</f>
        <v>OK</v>
      </c>
    </row>
    <row r="77">
      <c r="A77" s="28" t="inlineStr">
        <is>
          <t>Soma por categoria = Custo estimado</t>
        </is>
      </c>
      <c r="B77" s="30">
        <f>D34</f>
        <v>24606.2</v>
      </c>
      <c r="C77" s="30">
        <f>$B$7</f>
        <v>24606.2</v>
      </c>
      <c r="D77" s="30">
        <f>B77-C77</f>
        <v>0</v>
      </c>
      <c r="E77" s="28" t="str">
        <f>IF(ABS(D77)&lt;0.005,"OK","DIVERGE")</f>
        <v>OK</v>
      </c>
    </row>
    <row r="78">
      <c r="A78" s="28" t="inlineStr">
        <is>
          <t>Soma por centro = Movimentações</t>
        </is>
      </c>
      <c r="B78" s="30">
        <f>B43</f>
        <v>180</v>
      </c>
      <c r="C78" s="30">
        <f>$B$8</f>
        <v>180</v>
      </c>
      <c r="D78" s="30">
        <f>B78-C78</f>
        <v>0</v>
      </c>
      <c r="E78" s="28" t="str">
        <f>IF(ABS(D78)&lt;0.005,"OK","DIVERGE")</f>
        <v>OK</v>
      </c>
    </row>
    <row r="79">
      <c r="A79" s="28" t="inlineStr">
        <is>
          <t>Soma por centro = Unidades</t>
        </is>
      </c>
      <c r="B79" s="30">
        <f>C43</f>
        <v>1647</v>
      </c>
      <c r="C79" s="30">
        <f>$B$6</f>
        <v>1647</v>
      </c>
      <c r="D79" s="30">
        <f>B79-C79</f>
        <v>0</v>
      </c>
      <c r="E79" s="28" t="str">
        <f>IF(ABS(D79)&lt;0.005,"OK","DIVERGE")</f>
        <v>OK</v>
      </c>
    </row>
    <row r="80">
      <c r="A80" s="28" t="inlineStr">
        <is>
          <t>Soma por centro = Custo estimado</t>
        </is>
      </c>
      <c r="B80" s="30">
        <f>D43</f>
        <v>24606.2</v>
      </c>
      <c r="C80" s="30">
        <f>$B$7</f>
        <v>24606.2</v>
      </c>
      <c r="D80" s="30">
        <f>B80-C80</f>
        <v>0</v>
      </c>
      <c r="E80" s="28" t="str">
        <f>IF(ABS(D80)&lt;0.005,"OK","DIVERGE")</f>
        <v>OK</v>
      </c>
    </row>
    <row r="81">
      <c r="A81" s="28" t="inlineStr">
        <is>
          <t>Soma por material = Movimentações</t>
        </is>
      </c>
      <c r="B81" s="30">
        <f>B67</f>
        <v>180</v>
      </c>
      <c r="C81" s="30">
        <f>$B$8</f>
        <v>180</v>
      </c>
      <c r="D81" s="30">
        <f>B81-C81</f>
        <v>0</v>
      </c>
      <c r="E81" s="28" t="str">
        <f>IF(ABS(D81)&lt;0.005,"OK","DIVERGE")</f>
        <v>OK</v>
      </c>
    </row>
    <row r="82">
      <c r="A82" s="28" t="inlineStr">
        <is>
          <t>Soma por material = Unidades</t>
        </is>
      </c>
      <c r="B82" s="30">
        <f>C67</f>
        <v>1647</v>
      </c>
      <c r="C82" s="30">
        <f>$B$6</f>
        <v>1647</v>
      </c>
      <c r="D82" s="30">
        <f>B82-C82</f>
        <v>0</v>
      </c>
      <c r="E82" s="28" t="str">
        <f>IF(ABS(D82)&lt;0.005,"OK","DIVERGE")</f>
        <v>OK</v>
      </c>
    </row>
    <row r="83">
      <c r="A83" s="28" t="inlineStr">
        <is>
          <t>Soma por material = Custo estimado</t>
        </is>
      </c>
      <c r="B83" s="30">
        <f>D67</f>
        <v>24606.2</v>
      </c>
      <c r="C83" s="30">
        <f>$B$7</f>
        <v>24606.2</v>
      </c>
      <c r="D83" s="30">
        <f>B83-C83</f>
        <v>0</v>
      </c>
      <c r="E83" s="28" t="str">
        <f>IF(ABS(D83)&lt;0.005,"OK","DIVERGE")</f>
        <v>OK</v>
      </c>
    </row>
  </sheetData>
  <mergeCells count="16">
    <mergeCell ref="G6:J6"/>
    <mergeCell ref="C9:F9"/>
    <mergeCell ref="C10:F10"/>
    <mergeCell ref="G9:J9"/>
    <mergeCell ref="C8:F8"/>
    <mergeCell ref="G8:J8"/>
    <mergeCell ref="C6:F6"/>
    <mergeCell ref="C7:F7"/>
    <mergeCell ref="G7:J7"/>
    <mergeCell ref="C14:J14"/>
    <mergeCell ref="C11:F11"/>
    <mergeCell ref="C13:J13"/>
    <mergeCell ref="G11:J11"/>
    <mergeCell ref="C5:F5"/>
    <mergeCell ref="G5:J5"/>
    <mergeCell ref="G10:J10"/>
  </mergeCells>
  <conditionalFormatting sqref="J47:J66">
    <cfRule type="cellIs" priority="1" operator="equal" dxfId="4">
      <formula>"REPOR"</formula>
    </cfRule>
    <cfRule type="cellIs" priority="2" operator="equal" dxfId="5">
      <formula>"ATENÇÃO"</formula>
    </cfRule>
  </conditionalFormatting>
  <conditionalFormatting sqref="H47:H66">
    <cfRule type="cellIs" priority="3" operator="equal" dxfId="0">
      <formula>"Alta"</formula>
    </cfRule>
  </conditionalFormatting>
  <conditionalFormatting sqref="E72:E83">
    <cfRule type="cellIs" priority="4" operator="equal" dxfId="3">
      <formula>"OK"</formula>
    </cfRule>
    <cfRule type="cellIs" priority="5" operator="equal" dxfId="4">
      <formula>"DIVERGE"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B6B7A"/>
    <outlinePr summaryBelow="1" summaryRight="1"/>
    <pageSetUpPr fitToPage="1"/>
  </sheetPr>
  <dimension ref="A1:L236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0" customWidth="1" min="3" max="3"/>
    <col width="22" customWidth="1" min="4" max="4"/>
    <col width="20" customWidth="1" min="5" max="5"/>
    <col width="20" customWidth="1" min="6" max="6"/>
    <col width="20" customWidth="1" min="7" max="7"/>
    <col width="18" customWidth="1" min="8" max="8"/>
    <col width="18" customWidth="1" min="9" max="9"/>
    <col width="22" customWidth="1" min="10" max="10"/>
    <col width="20" customWidth="1" min="11" max="11"/>
    <col width="16" customWidth="1" min="12" max="12"/>
  </cols>
  <sheetData>
    <row r="1">
      <c r="A1" s="1" t="inlineStr">
        <is>
          <t>Analises – camada de cálculo do DASHBOARD (V0.2)</t>
        </is>
      </c>
    </row>
    <row r="2">
      <c r="A2" s="14" t="inlineStr">
        <is>
          <t>Dados 100% sintéticos utilizados exclusivamente para estudo e portfólio.</t>
        </is>
      </c>
    </row>
    <row r="3">
      <c r="A3" s="14" t="inlineStr">
        <is>
          <t>Todas as células desta aba são fórmulas (nada digitado). Cadeia de rastreabilidade: tbConsumo/tbEstoque/tbMateriais -&gt; Indicadores -&gt; Analises -&gt; DASHBOARD. Sem previsão: apenas soma, contagem, ordenação e percentuais do período observado.</t>
        </is>
      </c>
    </row>
    <row r="6">
      <c r="A6" s="17" t="inlineStr">
        <is>
          <t>1. Evolução mensal (lê Indicadores, seção 2)</t>
        </is>
      </c>
    </row>
    <row r="7" ht="30" customHeight="1">
      <c r="A7" s="100" t="inlineStr">
        <is>
          <t>Mês (chave)</t>
        </is>
      </c>
      <c r="B7" s="100" t="inlineStr">
        <is>
          <t>Rótulo</t>
        </is>
      </c>
      <c r="C7" s="100" t="inlineStr">
        <is>
          <t>Movimentações</t>
        </is>
      </c>
      <c r="D7" s="100" t="inlineStr">
        <is>
          <t>Unidades consumidas</t>
        </is>
      </c>
      <c r="E7" s="100" t="inlineStr">
        <is>
          <t>Custo estimado</t>
        </is>
      </c>
      <c r="F7" s="100" t="inlineStr">
        <is>
          <t>Var. unidades vs mês anterior</t>
        </is>
      </c>
      <c r="G7" s="100" t="inlineStr">
        <is>
          <t>Var. custo vs mês anterior</t>
        </is>
      </c>
    </row>
    <row r="8">
      <c r="A8" s="101" t="str">
        <f>Indicadores!A21</f>
        <v>2026-06</v>
      </c>
      <c r="B8" s="102" t="str">
        <f>CHOOSE(VALUE(RIGHT(A8,2)),"Jan","Fev","Mar","Abr","Mai","Jun","Jul","Ago","Set","Out","Nov","Dez")&amp;"/"&amp;LEFT(A8,4)</f>
        <v>Jun/2026</v>
      </c>
      <c r="C8" s="103">
        <f>Indicadores!B21</f>
        <v>65</v>
      </c>
      <c r="D8" s="103">
        <f>Indicadores!C21</f>
        <v>608</v>
      </c>
      <c r="E8" s="104">
        <f>Indicadores!D21</f>
        <v>8456.1</v>
      </c>
      <c r="F8" s="105" t="inlineStr">
        <is>
          <t>—</t>
        </is>
      </c>
      <c r="G8" s="105" t="inlineStr">
        <is>
          <t>—</t>
        </is>
      </c>
    </row>
    <row r="9">
      <c r="A9" s="101" t="str">
        <f>Indicadores!A22</f>
        <v>2026-07</v>
      </c>
      <c r="B9" s="102" t="str">
        <f>CHOOSE(VALUE(RIGHT(A9,2)),"Jan","Fev","Mar","Abr","Mai","Jun","Jul","Ago","Set","Out","Nov","Dez")&amp;"/"&amp;LEFT(A9,4)</f>
        <v>Jul/2026</v>
      </c>
      <c r="C9" s="103">
        <f>Indicadores!B22</f>
        <v>75</v>
      </c>
      <c r="D9" s="103">
        <f>Indicadores!C22</f>
        <v>691</v>
      </c>
      <c r="E9" s="104">
        <f>Indicadores!D22</f>
        <v>10933</v>
      </c>
      <c r="F9" s="106">
        <f>IF(D8=0,"n/d",D9/D8-1)</f>
        <v>0.136513157894737</v>
      </c>
      <c r="G9" s="106">
        <f>IF(E8=0,"n/d",E9/E8-1)</f>
        <v>0.292912808505103</v>
      </c>
    </row>
    <row r="10">
      <c r="A10" s="101" t="str">
        <f>Indicadores!A23</f>
        <v>2026-08</v>
      </c>
      <c r="B10" s="102" t="str">
        <f>CHOOSE(VALUE(RIGHT(A10,2)),"Jan","Fev","Mar","Abr","Mai","Jun","Jul","Ago","Set","Out","Nov","Dez")&amp;"/"&amp;LEFT(A10,4)</f>
        <v>Ago/2026</v>
      </c>
      <c r="C10" s="103">
        <f>Indicadores!B23</f>
        <v>40</v>
      </c>
      <c r="D10" s="103">
        <f>Indicadores!C23</f>
        <v>348</v>
      </c>
      <c r="E10" s="104">
        <f>Indicadores!D23</f>
        <v>5217.1</v>
      </c>
      <c r="F10" s="106">
        <f>IF(D9=0,"n/d",D10/D9-1)</f>
        <v>-0.496382054992764</v>
      </c>
      <c r="G10" s="106">
        <f>IF(E9=0,"n/d",E10/E9-1)</f>
        <v>-0.522811671087533</v>
      </c>
    </row>
    <row r="11">
      <c r="A11" s="107" t="inlineStr">
        <is>
          <t>Total</t>
        </is>
      </c>
      <c r="B11" s="108" t="n"/>
      <c r="C11" s="109">
        <f>SUM(C8:C10)</f>
        <v>180</v>
      </c>
      <c r="D11" s="109">
        <f>SUM(D8:D10)</f>
        <v>1647</v>
      </c>
      <c r="E11" s="110">
        <f>SUM(E8:E10)</f>
        <v>24606.2</v>
      </c>
    </row>
    <row r="14">
      <c r="A14" s="17" t="inlineStr">
        <is>
          <t>2. Categorias (lê Indicadores, seção 3)</t>
        </is>
      </c>
    </row>
    <row r="15" ht="30" customHeight="1">
      <c r="A15" s="100" t="inlineStr">
        <is>
          <t>Categoria</t>
        </is>
      </c>
      <c r="B15" s="100" t="inlineStr">
        <is>
          <t>Movimentações</t>
        </is>
      </c>
      <c r="C15" s="100" t="inlineStr">
        <is>
          <t>Unidades consumidas</t>
        </is>
      </c>
      <c r="D15" s="100" t="inlineStr">
        <is>
          <t>Custo estimado</t>
        </is>
      </c>
      <c r="E15" s="100" t="inlineStr">
        <is>
          <t>% das unidades</t>
        </is>
      </c>
      <c r="F15" s="100" t="inlineStr">
        <is>
          <t>% do custo</t>
        </is>
      </c>
      <c r="G15" s="100" t="inlineStr">
        <is>
          <t>Posição (unidades)</t>
        </is>
      </c>
      <c r="H15" s="100" t="inlineStr">
        <is>
          <t>Posição (custo)</t>
        </is>
      </c>
    </row>
    <row r="16">
      <c r="A16" s="111" t="str">
        <f>Indicadores!A28</f>
        <v>Abrasivos</v>
      </c>
      <c r="B16" s="103">
        <f>Indicadores!B28</f>
        <v>38</v>
      </c>
      <c r="C16" s="103">
        <f>Indicadores!C28</f>
        <v>419</v>
      </c>
      <c r="D16" s="104">
        <f>Indicadores!D28</f>
        <v>4179.4</v>
      </c>
      <c r="E16" s="112">
        <f>IF(Indicadores!$B$6=0,0,C16/Indicadores!$B$6)</f>
        <v>0.254401942926533</v>
      </c>
      <c r="F16" s="112">
        <f>IF(Indicadores!$B$7=0,0,D16/Indicadores!$B$7)</f>
        <v>0.169851500841251</v>
      </c>
      <c r="G16" s="113">
        <f>RANK(C16,C$16:C$21,0)+COUNTIF(C$16:C16,C16)-1</f>
        <v>2</v>
      </c>
      <c r="H16" s="113">
        <f>RANK(D16,D$16:D$21,0)+COUNTIF(D$16:D16,D16)-1</f>
        <v>4</v>
      </c>
    </row>
    <row r="17">
      <c r="A17" s="111" t="str">
        <f>Indicadores!A29</f>
        <v>Soldagem</v>
      </c>
      <c r="B17" s="103">
        <f>Indicadores!B29</f>
        <v>28</v>
      </c>
      <c r="C17" s="103">
        <f>Indicadores!C29</f>
        <v>57</v>
      </c>
      <c r="D17" s="104">
        <f>Indicadores!D29</f>
        <v>4869</v>
      </c>
      <c r="E17" s="112">
        <f>IF(Indicadores!$B$6=0,0,C17/Indicadores!$B$6)</f>
        <v>0.034608378870674</v>
      </c>
      <c r="F17" s="112">
        <f>IF(Indicadores!$B$7=0,0,D17/Indicadores!$B$7)</f>
        <v>0.197876957839894</v>
      </c>
      <c r="G17" s="113">
        <f>RANK(C17,C$16:C$21,0)+COUNTIF(C$16:C17,C17)-1</f>
        <v>4</v>
      </c>
      <c r="H17" s="113">
        <f>RANK(D17,D$16:D$21,0)+COUNTIF(D$16:D17,D17)-1</f>
        <v>3</v>
      </c>
    </row>
    <row r="18">
      <c r="A18" s="111" t="str">
        <f>Indicadores!A30</f>
        <v>Corte</v>
      </c>
      <c r="B18" s="103">
        <f>Indicadores!B30</f>
        <v>43</v>
      </c>
      <c r="C18" s="103">
        <f>Indicadores!C30</f>
        <v>940</v>
      </c>
      <c r="D18" s="104">
        <f>Indicadores!D30</f>
        <v>7565.3</v>
      </c>
      <c r="E18" s="112">
        <f>IF(Indicadores!$B$6=0,0,C18/Indicadores!$B$6)</f>
        <v>0.570734669095325</v>
      </c>
      <c r="F18" s="112">
        <f>IF(Indicadores!$B$7=0,0,D18/Indicadores!$B$7)</f>
        <v>0.307455031658688</v>
      </c>
      <c r="G18" s="113">
        <f>RANK(C18,C$16:C$21,0)+COUNTIF(C$16:C18,C18)-1</f>
        <v>1</v>
      </c>
      <c r="H18" s="113">
        <f>RANK(D18,D$16:D$21,0)+COUNTIF(D$16:D18,D18)-1</f>
        <v>1</v>
      </c>
    </row>
    <row r="19">
      <c r="A19" s="111" t="str">
        <f>Indicadores!A31</f>
        <v>Elétrica</v>
      </c>
      <c r="B19" s="103">
        <f>Indicadores!B31</f>
        <v>28</v>
      </c>
      <c r="C19" s="103">
        <f>Indicadores!C31</f>
        <v>45</v>
      </c>
      <c r="D19" s="104">
        <f>Indicadores!D31</f>
        <v>4871</v>
      </c>
      <c r="E19" s="112">
        <f>IF(Indicadores!$B$6=0,0,C19/Indicadores!$B$6)</f>
        <v>0.0273224043715847</v>
      </c>
      <c r="F19" s="112">
        <f>IF(Indicadores!$B$7=0,0,D19/Indicadores!$B$7)</f>
        <v>0.197958238167616</v>
      </c>
      <c r="G19" s="113">
        <f>RANK(C19,C$16:C$21,0)+COUNTIF(C$16:C19,C19)-1</f>
        <v>5</v>
      </c>
      <c r="H19" s="113">
        <f>RANK(D19,D$16:D$21,0)+COUNTIF(D$16:D19,D19)-1</f>
        <v>2</v>
      </c>
    </row>
    <row r="20">
      <c r="A20" s="111" t="str">
        <f>Indicadores!A32</f>
        <v>EPI</v>
      </c>
      <c r="B20" s="103">
        <f>Indicadores!B32</f>
        <v>34</v>
      </c>
      <c r="C20" s="103">
        <f>Indicadores!C32</f>
        <v>169</v>
      </c>
      <c r="D20" s="104">
        <f>Indicadores!D32</f>
        <v>2751.5</v>
      </c>
      <c r="E20" s="112">
        <f>IF(Indicadores!$B$6=0,0,C20/Indicadores!$B$6)</f>
        <v>0.10261080752884</v>
      </c>
      <c r="F20" s="112">
        <f>IF(Indicadores!$B$7=0,0,D20/Indicadores!$B$7)</f>
        <v>0.111821410863929</v>
      </c>
      <c r="G20" s="113">
        <f>RANK(C20,C$16:C$21,0)+COUNTIF(C$16:C20,C20)-1</f>
        <v>3</v>
      </c>
      <c r="H20" s="113">
        <f>RANK(D20,D$16:D$21,0)+COUNTIF(D$16:D20,D20)-1</f>
        <v>5</v>
      </c>
    </row>
    <row r="21">
      <c r="A21" s="111" t="str">
        <f>Indicadores!A33</f>
        <v>Ferramentas</v>
      </c>
      <c r="B21" s="103">
        <f>Indicadores!B33</f>
        <v>9</v>
      </c>
      <c r="C21" s="103">
        <f>Indicadores!C33</f>
        <v>17</v>
      </c>
      <c r="D21" s="104">
        <f>Indicadores!D33</f>
        <v>370</v>
      </c>
      <c r="E21" s="112">
        <f>IF(Indicadores!$B$6=0,0,C21/Indicadores!$B$6)</f>
        <v>0.0103217972070431</v>
      </c>
      <c r="F21" s="112">
        <f>IF(Indicadores!$B$7=0,0,D21/Indicadores!$B$7)</f>
        <v>0.0150368606286221</v>
      </c>
      <c r="G21" s="113">
        <f>RANK(C21,C$16:C$21,0)+COUNTIF(C$16:C21,C21)-1</f>
        <v>6</v>
      </c>
      <c r="H21" s="113">
        <f>RANK(D21,D$16:D$21,0)+COUNTIF(D$16:D21,D21)-1</f>
        <v>6</v>
      </c>
    </row>
    <row r="22">
      <c r="A22" s="107" t="inlineStr">
        <is>
          <t>Total</t>
        </is>
      </c>
      <c r="B22" s="109">
        <f>SUM(B16:B21)</f>
        <v>180</v>
      </c>
      <c r="C22" s="109">
        <f>SUM(C16:C21)</f>
        <v>1647</v>
      </c>
      <c r="D22" s="110">
        <f>SUM(D16:D21)</f>
        <v>24606.2</v>
      </c>
      <c r="E22" s="114">
        <f>SUM(E16:E21)</f>
        <v>1</v>
      </c>
      <c r="F22" s="114">
        <f>SUM(F16:F21)</f>
        <v>1</v>
      </c>
    </row>
    <row r="24">
      <c r="A24" s="115" t="inlineStr">
        <is>
          <t>Categorias ordenadas por unidades</t>
        </is>
      </c>
      <c r="F24" s="115" t="inlineStr">
        <is>
          <t>Categorias ordenadas por custo</t>
        </is>
      </c>
    </row>
    <row r="25" ht="30" customHeight="1">
      <c r="A25" s="100" t="inlineStr">
        <is>
          <t>Posição</t>
        </is>
      </c>
      <c r="B25" s="100" t="inlineStr">
        <is>
          <t>Categoria</t>
        </is>
      </c>
      <c r="C25" s="100" t="inlineStr">
        <is>
          <t>Unidades consumidas</t>
        </is>
      </c>
      <c r="D25" s="100" t="inlineStr">
        <is>
          <t>% das unidades</t>
        </is>
      </c>
      <c r="F25" s="100" t="inlineStr">
        <is>
          <t>Posição</t>
        </is>
      </c>
      <c r="G25" s="100" t="inlineStr">
        <is>
          <t>Categoria</t>
        </is>
      </c>
      <c r="H25" s="100" t="inlineStr">
        <is>
          <t>Custo estimado</t>
        </is>
      </c>
      <c r="I25" s="100" t="inlineStr">
        <is>
          <t>% do custo</t>
        </is>
      </c>
    </row>
    <row r="26">
      <c r="A26" s="113">
        <f>ROWS(A$26:A26)</f>
        <v>1</v>
      </c>
      <c r="B26" s="111" t="str">
        <f>INDEX($A$16:$A$21,MATCH($A26,$G$16:$G$21,0))</f>
        <v>Corte</v>
      </c>
      <c r="C26" s="103">
        <f>INDEX($C$16:$C$21,MATCH($A26,$G$16:$G$21,0))</f>
        <v>940</v>
      </c>
      <c r="D26" s="112">
        <f>INDEX($E$16:$E$21,MATCH($A26,$G$16:$G$21,0))</f>
        <v>0.570734669095325</v>
      </c>
      <c r="F26" s="113">
        <f>ROWS(F$26:F26)</f>
        <v>1</v>
      </c>
      <c r="G26" s="111" t="str">
        <f>INDEX($A$16:$A$21,MATCH($F26,$H$16:$H$21,0))</f>
        <v>Corte</v>
      </c>
      <c r="H26" s="104">
        <f>INDEX($D$16:$D$21,MATCH($F26,$H$16:$H$21,0))</f>
        <v>7565.3</v>
      </c>
      <c r="I26" s="112">
        <f>INDEX($F$16:$F$21,MATCH($F26,$H$16:$H$21,0))</f>
        <v>0.307455031658688</v>
      </c>
    </row>
    <row r="27">
      <c r="A27" s="113">
        <f>ROWS(A$26:A27)</f>
        <v>2</v>
      </c>
      <c r="B27" s="111" t="str">
        <f>INDEX($A$16:$A$21,MATCH($A27,$G$16:$G$21,0))</f>
        <v>Abrasivos</v>
      </c>
      <c r="C27" s="103">
        <f>INDEX($C$16:$C$21,MATCH($A27,$G$16:$G$21,0))</f>
        <v>419</v>
      </c>
      <c r="D27" s="112">
        <f>INDEX($E$16:$E$21,MATCH($A27,$G$16:$G$21,0))</f>
        <v>0.254401942926533</v>
      </c>
      <c r="F27" s="113">
        <f>ROWS(F$26:F27)</f>
        <v>2</v>
      </c>
      <c r="G27" s="111" t="str">
        <f>INDEX($A$16:$A$21,MATCH($F27,$H$16:$H$21,0))</f>
        <v>Elétrica</v>
      </c>
      <c r="H27" s="104">
        <f>INDEX($D$16:$D$21,MATCH($F27,$H$16:$H$21,0))</f>
        <v>4871</v>
      </c>
      <c r="I27" s="112">
        <f>INDEX($F$16:$F$21,MATCH($F27,$H$16:$H$21,0))</f>
        <v>0.197958238167616</v>
      </c>
    </row>
    <row r="28">
      <c r="A28" s="113">
        <f>ROWS(A$26:A28)</f>
        <v>3</v>
      </c>
      <c r="B28" s="111" t="str">
        <f>INDEX($A$16:$A$21,MATCH($A28,$G$16:$G$21,0))</f>
        <v>EPI</v>
      </c>
      <c r="C28" s="103">
        <f>INDEX($C$16:$C$21,MATCH($A28,$G$16:$G$21,0))</f>
        <v>169</v>
      </c>
      <c r="D28" s="112">
        <f>INDEX($E$16:$E$21,MATCH($A28,$G$16:$G$21,0))</f>
        <v>0.10261080752884</v>
      </c>
      <c r="F28" s="113">
        <f>ROWS(F$26:F28)</f>
        <v>3</v>
      </c>
      <c r="G28" s="111" t="str">
        <f>INDEX($A$16:$A$21,MATCH($F28,$H$16:$H$21,0))</f>
        <v>Soldagem</v>
      </c>
      <c r="H28" s="104">
        <f>INDEX($D$16:$D$21,MATCH($F28,$H$16:$H$21,0))</f>
        <v>4869</v>
      </c>
      <c r="I28" s="112">
        <f>INDEX($F$16:$F$21,MATCH($F28,$H$16:$H$21,0))</f>
        <v>0.197876957839894</v>
      </c>
    </row>
    <row r="29">
      <c r="A29" s="113">
        <f>ROWS(A$26:A29)</f>
        <v>4</v>
      </c>
      <c r="B29" s="111" t="str">
        <f>INDEX($A$16:$A$21,MATCH($A29,$G$16:$G$21,0))</f>
        <v>Soldagem</v>
      </c>
      <c r="C29" s="103">
        <f>INDEX($C$16:$C$21,MATCH($A29,$G$16:$G$21,0))</f>
        <v>57</v>
      </c>
      <c r="D29" s="112">
        <f>INDEX($E$16:$E$21,MATCH($A29,$G$16:$G$21,0))</f>
        <v>0.034608378870674</v>
      </c>
      <c r="F29" s="113">
        <f>ROWS(F$26:F29)</f>
        <v>4</v>
      </c>
      <c r="G29" s="111" t="str">
        <f>INDEX($A$16:$A$21,MATCH($F29,$H$16:$H$21,0))</f>
        <v>Abrasivos</v>
      </c>
      <c r="H29" s="104">
        <f>INDEX($D$16:$D$21,MATCH($F29,$H$16:$H$21,0))</f>
        <v>4179.4</v>
      </c>
      <c r="I29" s="112">
        <f>INDEX($F$16:$F$21,MATCH($F29,$H$16:$H$21,0))</f>
        <v>0.169851500841251</v>
      </c>
    </row>
    <row r="30">
      <c r="A30" s="113">
        <f>ROWS(A$26:A30)</f>
        <v>5</v>
      </c>
      <c r="B30" s="111" t="str">
        <f>INDEX($A$16:$A$21,MATCH($A30,$G$16:$G$21,0))</f>
        <v>Elétrica</v>
      </c>
      <c r="C30" s="103">
        <f>INDEX($C$16:$C$21,MATCH($A30,$G$16:$G$21,0))</f>
        <v>45</v>
      </c>
      <c r="D30" s="112">
        <f>INDEX($E$16:$E$21,MATCH($A30,$G$16:$G$21,0))</f>
        <v>0.0273224043715847</v>
      </c>
      <c r="F30" s="113">
        <f>ROWS(F$26:F30)</f>
        <v>5</v>
      </c>
      <c r="G30" s="111" t="str">
        <f>INDEX($A$16:$A$21,MATCH($F30,$H$16:$H$21,0))</f>
        <v>EPI</v>
      </c>
      <c r="H30" s="104">
        <f>INDEX($D$16:$D$21,MATCH($F30,$H$16:$H$21,0))</f>
        <v>2751.5</v>
      </c>
      <c r="I30" s="112">
        <f>INDEX($F$16:$F$21,MATCH($F30,$H$16:$H$21,0))</f>
        <v>0.111821410863929</v>
      </c>
    </row>
    <row r="31">
      <c r="A31" s="113">
        <f>ROWS(A$26:A31)</f>
        <v>6</v>
      </c>
      <c r="B31" s="111" t="str">
        <f>INDEX($A$16:$A$21,MATCH($A31,$G$16:$G$21,0))</f>
        <v>Ferramentas</v>
      </c>
      <c r="C31" s="103">
        <f>INDEX($C$16:$C$21,MATCH($A31,$G$16:$G$21,0))</f>
        <v>17</v>
      </c>
      <c r="D31" s="112">
        <f>INDEX($E$16:$E$21,MATCH($A31,$G$16:$G$21,0))</f>
        <v>0.0103217972070431</v>
      </c>
      <c r="F31" s="113">
        <f>ROWS(F$26:F31)</f>
        <v>6</v>
      </c>
      <c r="G31" s="111" t="str">
        <f>INDEX($A$16:$A$21,MATCH($F31,$H$16:$H$21,0))</f>
        <v>Ferramentas</v>
      </c>
      <c r="H31" s="104">
        <f>INDEX($D$16:$D$21,MATCH($F31,$H$16:$H$21,0))</f>
        <v>370</v>
      </c>
      <c r="I31" s="112">
        <f>INDEX($F$16:$F$21,MATCH($F31,$H$16:$H$21,0))</f>
        <v>0.0150368606286221</v>
      </c>
    </row>
    <row r="34">
      <c r="A34" s="17" t="inlineStr">
        <is>
          <t>3. Centros de trabalho (lê Indicadores, seção 4)</t>
        </is>
      </c>
    </row>
    <row r="35" ht="30" customHeight="1">
      <c r="A35" s="100" t="inlineStr">
        <is>
          <t>Centro_Trabalho</t>
        </is>
      </c>
      <c r="B35" s="100" t="inlineStr">
        <is>
          <t>Movimentações</t>
        </is>
      </c>
      <c r="C35" s="100" t="inlineStr">
        <is>
          <t>Unidades consumidas</t>
        </is>
      </c>
      <c r="D35" s="100" t="inlineStr">
        <is>
          <t>Custo estimado</t>
        </is>
      </c>
      <c r="E35" s="100" t="inlineStr">
        <is>
          <t>% das unidades</t>
        </is>
      </c>
      <c r="F35" s="100" t="inlineStr">
        <is>
          <t>% do custo</t>
        </is>
      </c>
      <c r="G35" s="100" t="inlineStr">
        <is>
          <t>Posição (unidades)</t>
        </is>
      </c>
      <c r="H35" s="100" t="inlineStr">
        <is>
          <t>Posição (custo)</t>
        </is>
      </c>
    </row>
    <row r="36">
      <c r="A36" s="111" t="str">
        <f>Indicadores!A38</f>
        <v>MANUTENCAO</v>
      </c>
      <c r="B36" s="103">
        <f>Indicadores!B38</f>
        <v>54</v>
      </c>
      <c r="C36" s="103">
        <f>Indicadores!C38</f>
        <v>413</v>
      </c>
      <c r="D36" s="104">
        <f>Indicadores!D38</f>
        <v>6402.2</v>
      </c>
      <c r="E36" s="112">
        <f>IF(Indicadores!$B$6=0,0,C36/Indicadores!$B$6)</f>
        <v>0.250758955676988</v>
      </c>
      <c r="F36" s="112">
        <f>IF(Indicadores!$B$7=0,0,D36/Indicadores!$B$7)</f>
        <v>0.260186457071795</v>
      </c>
      <c r="G36" s="113">
        <f>RANK(C36,C$36:C$40,0)+COUNTIF(C$36:C36,C36)-1</f>
        <v>2</v>
      </c>
      <c r="H36" s="113">
        <f>RANK(D36,D$36:D$40,0)+COUNTIF(D$36:D36,D36)-1</f>
        <v>1</v>
      </c>
    </row>
    <row r="37">
      <c r="A37" s="111" t="str">
        <f>Indicadores!A39</f>
        <v>SOLDAGEM</v>
      </c>
      <c r="B37" s="103">
        <f>Indicadores!B39</f>
        <v>42</v>
      </c>
      <c r="C37" s="103">
        <f>Indicadores!C39</f>
        <v>388</v>
      </c>
      <c r="D37" s="104">
        <f>Indicadores!D39</f>
        <v>5739.8</v>
      </c>
      <c r="E37" s="112">
        <f>IF(Indicadores!$B$6=0,0,C37/Indicadores!$B$6)</f>
        <v>0.235579842137219</v>
      </c>
      <c r="F37" s="112">
        <f>IF(Indicadores!$B$7=0,0,D37/Indicadores!$B$7)</f>
        <v>0.233266412530175</v>
      </c>
      <c r="G37" s="113">
        <f>RANK(C37,C$36:C$40,0)+COUNTIF(C$36:C37,C37)-1</f>
        <v>3</v>
      </c>
      <c r="H37" s="113">
        <f>RANK(D37,D$36:D$40,0)+COUNTIF(D$36:D37,D37)-1</f>
        <v>2</v>
      </c>
    </row>
    <row r="38">
      <c r="A38" s="111" t="str">
        <f>Indicadores!A40</f>
        <v>FABRICACAO</v>
      </c>
      <c r="B38" s="103">
        <f>Indicadores!B40</f>
        <v>32</v>
      </c>
      <c r="C38" s="103">
        <f>Indicadores!C40</f>
        <v>384</v>
      </c>
      <c r="D38" s="104">
        <f>Indicadores!D40</f>
        <v>4806.5</v>
      </c>
      <c r="E38" s="112">
        <f>IF(Indicadores!$B$6=0,0,C38/Indicadores!$B$6)</f>
        <v>0.233151183970856</v>
      </c>
      <c r="F38" s="112">
        <f>IF(Indicadores!$B$7=0,0,D38/Indicadores!$B$7)</f>
        <v>0.195336947598573</v>
      </c>
      <c r="G38" s="113">
        <f>RANK(C38,C$36:C$40,0)+COUNTIF(C$36:C38,C38)-1</f>
        <v>4</v>
      </c>
      <c r="H38" s="113">
        <f>RANK(D38,D$36:D$40,0)+COUNTIF(D$36:D38,D38)-1</f>
        <v>3</v>
      </c>
    </row>
    <row r="39">
      <c r="A39" s="111" t="str">
        <f>Indicadores!A41</f>
        <v>MECANICA</v>
      </c>
      <c r="B39" s="103">
        <f>Indicadores!B41</f>
        <v>30</v>
      </c>
      <c r="C39" s="103">
        <f>Indicadores!C41</f>
        <v>423</v>
      </c>
      <c r="D39" s="104">
        <f>Indicadores!D41</f>
        <v>3909.7</v>
      </c>
      <c r="E39" s="112">
        <f>IF(Indicadores!$B$6=0,0,C39/Indicadores!$B$6)</f>
        <v>0.256830601092896</v>
      </c>
      <c r="F39" s="112">
        <f>IF(Indicadores!$B$7=0,0,D39/Indicadores!$B$7)</f>
        <v>0.158890848647902</v>
      </c>
      <c r="G39" s="113">
        <f>RANK(C39,C$36:C$40,0)+COUNTIF(C$36:C39,C39)-1</f>
        <v>1</v>
      </c>
      <c r="H39" s="113">
        <f>RANK(D39,D$36:D$40,0)+COUNTIF(D$36:D39,D39)-1</f>
        <v>4</v>
      </c>
    </row>
    <row r="40">
      <c r="A40" s="111" t="str">
        <f>Indicadores!A42</f>
        <v>ELETRICA</v>
      </c>
      <c r="B40" s="103">
        <f>Indicadores!B42</f>
        <v>22</v>
      </c>
      <c r="C40" s="103">
        <f>Indicadores!C42</f>
        <v>39</v>
      </c>
      <c r="D40" s="104">
        <f>Indicadores!D42</f>
        <v>3748</v>
      </c>
      <c r="E40" s="112">
        <f>IF(Indicadores!$B$6=0,0,C40/Indicadores!$B$6)</f>
        <v>0.0236794171220401</v>
      </c>
      <c r="F40" s="112">
        <f>IF(Indicadores!$B$7=0,0,D40/Indicadores!$B$7)</f>
        <v>0.152319334151555</v>
      </c>
      <c r="G40" s="113">
        <f>RANK(C40,C$36:C$40,0)+COUNTIF(C$36:C40,C40)-1</f>
        <v>5</v>
      </c>
      <c r="H40" s="113">
        <f>RANK(D40,D$36:D$40,0)+COUNTIF(D$36:D40,D40)-1</f>
        <v>5</v>
      </c>
    </row>
    <row r="41">
      <c r="A41" s="107" t="inlineStr">
        <is>
          <t>Total</t>
        </is>
      </c>
      <c r="B41" s="109">
        <f>SUM(B36:B40)</f>
        <v>180</v>
      </c>
      <c r="C41" s="109">
        <f>SUM(C36:C40)</f>
        <v>1647</v>
      </c>
      <c r="D41" s="110">
        <f>SUM(D36:D40)</f>
        <v>24606.2</v>
      </c>
      <c r="E41" s="114">
        <f>SUM(E36:E40)</f>
        <v>1</v>
      </c>
      <c r="F41" s="114">
        <f>SUM(F36:F40)</f>
        <v>1</v>
      </c>
    </row>
    <row r="43">
      <c r="A43" s="115" t="inlineStr">
        <is>
          <t>Centros ordenados por unidades</t>
        </is>
      </c>
      <c r="F43" s="115" t="inlineStr">
        <is>
          <t>Centros ordenados por custo</t>
        </is>
      </c>
    </row>
    <row r="44" ht="30" customHeight="1">
      <c r="A44" s="100" t="inlineStr">
        <is>
          <t>Posição</t>
        </is>
      </c>
      <c r="B44" s="100" t="inlineStr">
        <is>
          <t>Centro_Trabalho</t>
        </is>
      </c>
      <c r="C44" s="100" t="inlineStr">
        <is>
          <t>Unidades consumidas</t>
        </is>
      </c>
      <c r="D44" s="100" t="inlineStr">
        <is>
          <t>% das unidades</t>
        </is>
      </c>
      <c r="F44" s="100" t="inlineStr">
        <is>
          <t>Posição</t>
        </is>
      </c>
      <c r="G44" s="100" t="inlineStr">
        <is>
          <t>Centro_Trabalho</t>
        </is>
      </c>
      <c r="H44" s="100" t="inlineStr">
        <is>
          <t>Custo estimado</t>
        </is>
      </c>
      <c r="I44" s="100" t="inlineStr">
        <is>
          <t>% do custo</t>
        </is>
      </c>
    </row>
    <row r="45">
      <c r="A45" s="113">
        <f>ROWS(A$45:A45)</f>
        <v>1</v>
      </c>
      <c r="B45" s="111" t="str">
        <f>INDEX($A$36:$A$40,MATCH($A45,$G$36:$G$40,0))</f>
        <v>MECANICA</v>
      </c>
      <c r="C45" s="103">
        <f>INDEX($C$36:$C$40,MATCH($A45,$G$36:$G$40,0))</f>
        <v>423</v>
      </c>
      <c r="D45" s="112">
        <f>INDEX($E$36:$E$40,MATCH($A45,$G$36:$G$40,0))</f>
        <v>0.256830601092896</v>
      </c>
      <c r="F45" s="113">
        <f>ROWS(F$45:F45)</f>
        <v>1</v>
      </c>
      <c r="G45" s="111" t="str">
        <f>INDEX($A$36:$A$40,MATCH($F45,$H$36:$H$40,0))</f>
        <v>MANUTENCAO</v>
      </c>
      <c r="H45" s="104">
        <f>INDEX($D$36:$D$40,MATCH($F45,$H$36:$H$40,0))</f>
        <v>6402.2</v>
      </c>
      <c r="I45" s="112">
        <f>INDEX($F$36:$F$40,MATCH($F45,$H$36:$H$40,0))</f>
        <v>0.260186457071795</v>
      </c>
    </row>
    <row r="46">
      <c r="A46" s="113">
        <f>ROWS(A$45:A46)</f>
        <v>2</v>
      </c>
      <c r="B46" s="111" t="str">
        <f>INDEX($A$36:$A$40,MATCH($A46,$G$36:$G$40,0))</f>
        <v>MANUTENCAO</v>
      </c>
      <c r="C46" s="103">
        <f>INDEX($C$36:$C$40,MATCH($A46,$G$36:$G$40,0))</f>
        <v>413</v>
      </c>
      <c r="D46" s="112">
        <f>INDEX($E$36:$E$40,MATCH($A46,$G$36:$G$40,0))</f>
        <v>0.250758955676988</v>
      </c>
      <c r="F46" s="113">
        <f>ROWS(F$45:F46)</f>
        <v>2</v>
      </c>
      <c r="G46" s="111" t="str">
        <f>INDEX($A$36:$A$40,MATCH($F46,$H$36:$H$40,0))</f>
        <v>SOLDAGEM</v>
      </c>
      <c r="H46" s="104">
        <f>INDEX($D$36:$D$40,MATCH($F46,$H$36:$H$40,0))</f>
        <v>5739.8</v>
      </c>
      <c r="I46" s="112">
        <f>INDEX($F$36:$F$40,MATCH($F46,$H$36:$H$40,0))</f>
        <v>0.233266412530175</v>
      </c>
    </row>
    <row r="47">
      <c r="A47" s="113">
        <f>ROWS(A$45:A47)</f>
        <v>3</v>
      </c>
      <c r="B47" s="111" t="str">
        <f>INDEX($A$36:$A$40,MATCH($A47,$G$36:$G$40,0))</f>
        <v>SOLDAGEM</v>
      </c>
      <c r="C47" s="103">
        <f>INDEX($C$36:$C$40,MATCH($A47,$G$36:$G$40,0))</f>
        <v>388</v>
      </c>
      <c r="D47" s="112">
        <f>INDEX($E$36:$E$40,MATCH($A47,$G$36:$G$40,0))</f>
        <v>0.235579842137219</v>
      </c>
      <c r="F47" s="113">
        <f>ROWS(F$45:F47)</f>
        <v>3</v>
      </c>
      <c r="G47" s="111" t="str">
        <f>INDEX($A$36:$A$40,MATCH($F47,$H$36:$H$40,0))</f>
        <v>FABRICACAO</v>
      </c>
      <c r="H47" s="104">
        <f>INDEX($D$36:$D$40,MATCH($F47,$H$36:$H$40,0))</f>
        <v>4806.5</v>
      </c>
      <c r="I47" s="112">
        <f>INDEX($F$36:$F$40,MATCH($F47,$H$36:$H$40,0))</f>
        <v>0.195336947598573</v>
      </c>
    </row>
    <row r="48">
      <c r="A48" s="113">
        <f>ROWS(A$45:A48)</f>
        <v>4</v>
      </c>
      <c r="B48" s="111" t="str">
        <f>INDEX($A$36:$A$40,MATCH($A48,$G$36:$G$40,0))</f>
        <v>FABRICACAO</v>
      </c>
      <c r="C48" s="103">
        <f>INDEX($C$36:$C$40,MATCH($A48,$G$36:$G$40,0))</f>
        <v>384</v>
      </c>
      <c r="D48" s="112">
        <f>INDEX($E$36:$E$40,MATCH($A48,$G$36:$G$40,0))</f>
        <v>0.233151183970856</v>
      </c>
      <c r="F48" s="113">
        <f>ROWS(F$45:F48)</f>
        <v>4</v>
      </c>
      <c r="G48" s="111" t="str">
        <f>INDEX($A$36:$A$40,MATCH($F48,$H$36:$H$40,0))</f>
        <v>MECANICA</v>
      </c>
      <c r="H48" s="104">
        <f>INDEX($D$36:$D$40,MATCH($F48,$H$36:$H$40,0))</f>
        <v>3909.7</v>
      </c>
      <c r="I48" s="112">
        <f>INDEX($F$36:$F$40,MATCH($F48,$H$36:$H$40,0))</f>
        <v>0.158890848647902</v>
      </c>
    </row>
    <row r="49">
      <c r="A49" s="113">
        <f>ROWS(A$45:A49)</f>
        <v>5</v>
      </c>
      <c r="B49" s="111" t="str">
        <f>INDEX($A$36:$A$40,MATCH($A49,$G$36:$G$40,0))</f>
        <v>ELETRICA</v>
      </c>
      <c r="C49" s="103">
        <f>INDEX($C$36:$C$40,MATCH($A49,$G$36:$G$40,0))</f>
        <v>39</v>
      </c>
      <c r="D49" s="112">
        <f>INDEX($E$36:$E$40,MATCH($A49,$G$36:$G$40,0))</f>
        <v>0.0236794171220401</v>
      </c>
      <c r="F49" s="113">
        <f>ROWS(F$45:F49)</f>
        <v>5</v>
      </c>
      <c r="G49" s="111" t="str">
        <f>INDEX($A$36:$A$40,MATCH($F49,$H$36:$H$40,0))</f>
        <v>ELETRICA</v>
      </c>
      <c r="H49" s="104">
        <f>INDEX($D$36:$D$40,MATCH($F49,$H$36:$H$40,0))</f>
        <v>3748</v>
      </c>
      <c r="I49" s="112">
        <f>INDEX($F$36:$F$40,MATCH($F49,$H$36:$H$40,0))</f>
        <v>0.152319334151555</v>
      </c>
    </row>
    <row r="52">
      <c r="A52" s="17" t="inlineStr">
        <is>
          <t>4. Materiais – base de cálculo (uma linha por material do catálogo; lê Indicadores, seção 5)</t>
        </is>
      </c>
    </row>
    <row r="53" ht="30" customHeight="1">
      <c r="A53" s="100" t="inlineStr">
        <is>
          <t>Material_ID</t>
        </is>
      </c>
      <c r="B53" s="100" t="inlineStr">
        <is>
          <t>Material</t>
        </is>
      </c>
      <c r="C53" s="100" t="inlineStr">
        <is>
          <t>Categoria</t>
        </is>
      </c>
      <c r="D53" s="100" t="inlineStr">
        <is>
          <t>Criticidade</t>
        </is>
      </c>
      <c r="E53" s="100" t="inlineStr">
        <is>
          <t>Movimentações</t>
        </is>
      </c>
      <c r="F53" s="100" t="inlineStr">
        <is>
          <t>Unidades consumidas</t>
        </is>
      </c>
      <c r="G53" s="100" t="inlineStr">
        <is>
          <t>Custo estimado</t>
        </is>
      </c>
      <c r="H53" s="100" t="inlineStr">
        <is>
          <t>Posição (unidades)</t>
        </is>
      </c>
      <c r="I53" s="100" t="inlineStr">
        <is>
          <t>Posição (custo)</t>
        </is>
      </c>
    </row>
    <row r="54">
      <c r="A54" s="111" t="str">
        <f>Indicadores!A47</f>
        <v>MAT001</v>
      </c>
      <c r="B54" s="111" t="str">
        <f>Indicadores!F47</f>
        <v>Disco de Desbaste 7 pol</v>
      </c>
      <c r="C54" s="111" t="str">
        <f>Indicadores!G47</f>
        <v>Abrasivos</v>
      </c>
      <c r="D54" s="101" t="str">
        <f>Indicadores!H47</f>
        <v>Média</v>
      </c>
      <c r="E54" s="103">
        <f>Indicadores!B47</f>
        <v>13</v>
      </c>
      <c r="F54" s="103">
        <f>Indicadores!C47</f>
        <v>169</v>
      </c>
      <c r="G54" s="104">
        <f>Indicadores!D47</f>
        <v>1656.2</v>
      </c>
      <c r="H54" s="113">
        <f>RANK(F54,F$54:F$73,0)+COUNTIF(F$54:F54,F54)-1</f>
        <v>4</v>
      </c>
      <c r="I54" s="113">
        <f>RANK(G54,G$54:G$73,0)+COUNTIF(G$54:G54,G54)-1</f>
        <v>6</v>
      </c>
    </row>
    <row r="55">
      <c r="A55" s="111" t="str">
        <f>Indicadores!A48</f>
        <v>MAT002</v>
      </c>
      <c r="B55" s="111" t="str">
        <f>Indicadores!F48</f>
        <v>Disco Flap 4,5 pol Grão 60</v>
      </c>
      <c r="C55" s="111" t="str">
        <f>Indicadores!G48</f>
        <v>Abrasivos</v>
      </c>
      <c r="D55" s="101" t="str">
        <f>Indicadores!H48</f>
        <v>Baixa</v>
      </c>
      <c r="E55" s="103">
        <f>Indicadores!B48</f>
        <v>14</v>
      </c>
      <c r="F55" s="103">
        <f>Indicadores!C48</f>
        <v>228</v>
      </c>
      <c r="G55" s="104">
        <f>Indicadores!D48</f>
        <v>1687.2</v>
      </c>
      <c r="H55" s="113">
        <f>RANK(F55,F$54:F$73,0)+COUNTIF(F$54:F55,F55)-1</f>
        <v>3</v>
      </c>
      <c r="I55" s="113">
        <f>RANK(G55,G$54:G$73,0)+COUNTIF(G$54:G55,G55)-1</f>
        <v>5</v>
      </c>
    </row>
    <row r="56">
      <c r="A56" s="111" t="str">
        <f>Indicadores!A49</f>
        <v>MAT003</v>
      </c>
      <c r="B56" s="111" t="str">
        <f>Indicadores!F49</f>
        <v>Lixa de Ferro Grão 80</v>
      </c>
      <c r="C56" s="111" t="str">
        <f>Indicadores!G49</f>
        <v>Abrasivos</v>
      </c>
      <c r="D56" s="101" t="str">
        <f>Indicadores!H49</f>
        <v>Baixa</v>
      </c>
      <c r="E56" s="103">
        <f>Indicadores!B49</f>
        <v>11</v>
      </c>
      <c r="F56" s="103">
        <f>Indicadores!C49</f>
        <v>22</v>
      </c>
      <c r="G56" s="104">
        <f>Indicadores!D49</f>
        <v>836</v>
      </c>
      <c r="H56" s="113">
        <f>RANK(F56,F$54:F$73,0)+COUNTIF(F$54:F56,F56)-1</f>
        <v>9</v>
      </c>
      <c r="I56" s="113">
        <f>RANK(G56,G$54:G$73,0)+COUNTIF(G$54:G56,G56)-1</f>
        <v>11</v>
      </c>
    </row>
    <row r="57">
      <c r="A57" s="111" t="str">
        <f>Indicadores!A50</f>
        <v>MAT004</v>
      </c>
      <c r="B57" s="111" t="str">
        <f>Indicadores!F50</f>
        <v>Bico de Contato MIG 1,0 mm</v>
      </c>
      <c r="C57" s="111" t="str">
        <f>Indicadores!G50</f>
        <v>Soldagem</v>
      </c>
      <c r="D57" s="101" t="str">
        <f>Indicadores!H50</f>
        <v>Média</v>
      </c>
      <c r="E57" s="103">
        <f>Indicadores!B50</f>
        <v>12</v>
      </c>
      <c r="F57" s="103">
        <f>Indicadores!C50</f>
        <v>23</v>
      </c>
      <c r="G57" s="104">
        <f>Indicadores!D50</f>
        <v>1035</v>
      </c>
      <c r="H57" s="113">
        <f>RANK(F57,F$54:F$73,0)+COUNTIF(F$54:F57,F57)-1</f>
        <v>8</v>
      </c>
      <c r="I57" s="113">
        <f>RANK(G57,G$54:G$73,0)+COUNTIF(G$54:G57,G57)-1</f>
        <v>9</v>
      </c>
    </row>
    <row r="58">
      <c r="A58" s="111" t="str">
        <f>Indicadores!A51</f>
        <v>MAT005</v>
      </c>
      <c r="B58" s="111" t="str">
        <f>Indicadores!F51</f>
        <v>Eletrodo Revestido 2,5 mm</v>
      </c>
      <c r="C58" s="111" t="str">
        <f>Indicadores!G51</f>
        <v>Soldagem</v>
      </c>
      <c r="D58" s="101" t="str">
        <f>Indicadores!H51</f>
        <v>Alta</v>
      </c>
      <c r="E58" s="103">
        <f>Indicadores!B51</f>
        <v>12</v>
      </c>
      <c r="F58" s="103">
        <f>Indicadores!C51</f>
        <v>29</v>
      </c>
      <c r="G58" s="104">
        <f>Indicadores!D51</f>
        <v>2784</v>
      </c>
      <c r="H58" s="113">
        <f>RANK(F58,F$54:F$73,0)+COUNTIF(F$54:F58,F58)-1</f>
        <v>7</v>
      </c>
      <c r="I58" s="113">
        <f>RANK(G58,G$54:G$73,0)+COUNTIF(G$54:G58,G58)-1</f>
        <v>4</v>
      </c>
    </row>
    <row r="59">
      <c r="A59" s="111" t="str">
        <f>Indicadores!A52</f>
        <v>MAT006</v>
      </c>
      <c r="B59" s="111" t="str">
        <f>Indicadores!F52</f>
        <v>Arame MIG 1,0 mm Bobina</v>
      </c>
      <c r="C59" s="111" t="str">
        <f>Indicadores!G52</f>
        <v>Soldagem</v>
      </c>
      <c r="D59" s="101" t="str">
        <f>Indicadores!H52</f>
        <v>Alta</v>
      </c>
      <c r="E59" s="103">
        <f>Indicadores!B52</f>
        <v>4</v>
      </c>
      <c r="F59" s="103">
        <f>Indicadores!C52</f>
        <v>5</v>
      </c>
      <c r="G59" s="104">
        <f>Indicadores!D52</f>
        <v>1050</v>
      </c>
      <c r="H59" s="113">
        <f>RANK(F59,F$54:F$73,0)+COUNTIF(F$54:F59,F59)-1</f>
        <v>17</v>
      </c>
      <c r="I59" s="113">
        <f>RANK(G59,G$54:G$73,0)+COUNTIF(G$54:G59,G59)-1</f>
        <v>8</v>
      </c>
    </row>
    <row r="60">
      <c r="A60" s="111" t="str">
        <f>Indicadores!A53</f>
        <v>MAT007</v>
      </c>
      <c r="B60" s="111" t="str">
        <f>Indicadores!F53</f>
        <v>Disco de Corte 7 pol</v>
      </c>
      <c r="C60" s="111" t="str">
        <f>Indicadores!G53</f>
        <v>Corte</v>
      </c>
      <c r="D60" s="101" t="str">
        <f>Indicadores!H53</f>
        <v>Alta</v>
      </c>
      <c r="E60" s="103">
        <f>Indicadores!B53</f>
        <v>14</v>
      </c>
      <c r="F60" s="103">
        <f>Indicadores!C53</f>
        <v>244</v>
      </c>
      <c r="G60" s="104">
        <f>Indicadores!D53</f>
        <v>3050</v>
      </c>
      <c r="H60" s="113">
        <f>RANK(F60,F$54:F$73,0)+COUNTIF(F$54:F60,F60)-1</f>
        <v>2</v>
      </c>
      <c r="I60" s="113">
        <f>RANK(G60,G$54:G$73,0)+COUNTIF(G$54:G60,G60)-1</f>
        <v>3</v>
      </c>
    </row>
    <row r="61">
      <c r="A61" s="111" t="str">
        <f>Indicadores!A54</f>
        <v>MAT008</v>
      </c>
      <c r="B61" s="111" t="str">
        <f>Indicadores!F54</f>
        <v>Disco de Corte 4,5 pol</v>
      </c>
      <c r="C61" s="111" t="str">
        <f>Indicadores!G54</f>
        <v>Corte</v>
      </c>
      <c r="D61" s="101" t="str">
        <f>Indicadores!H54</f>
        <v>Média</v>
      </c>
      <c r="E61" s="103">
        <f>Indicadores!B54</f>
        <v>22</v>
      </c>
      <c r="F61" s="103">
        <f>Indicadores!C54</f>
        <v>687</v>
      </c>
      <c r="G61" s="104">
        <f>Indicadores!D54</f>
        <v>4053.3</v>
      </c>
      <c r="H61" s="113">
        <f>RANK(F61,F$54:F$73,0)+COUNTIF(F$54:F61,F61)-1</f>
        <v>1</v>
      </c>
      <c r="I61" s="113">
        <f>RANK(G61,G$54:G$73,0)+COUNTIF(G$54:G61,G61)-1</f>
        <v>1</v>
      </c>
    </row>
    <row r="62">
      <c r="A62" s="111" t="str">
        <f>Indicadores!A55</f>
        <v>MAT009</v>
      </c>
      <c r="B62" s="111" t="str">
        <f>Indicadores!F55</f>
        <v>Serra Copo 51 mm</v>
      </c>
      <c r="C62" s="111" t="str">
        <f>Indicadores!G55</f>
        <v>Corte</v>
      </c>
      <c r="D62" s="101" t="str">
        <f>Indicadores!H55</f>
        <v>Baixa</v>
      </c>
      <c r="E62" s="103">
        <f>Indicadores!B55</f>
        <v>5</v>
      </c>
      <c r="F62" s="103">
        <f>Indicadores!C55</f>
        <v>6</v>
      </c>
      <c r="G62" s="104">
        <f>Indicadores!D55</f>
        <v>276</v>
      </c>
      <c r="H62" s="113">
        <f>RANK(F62,F$54:F$73,0)+COUNTIF(F$54:F62,F62)-1</f>
        <v>16</v>
      </c>
      <c r="I62" s="113">
        <f>RANK(G62,G$54:G$73,0)+COUNTIF(G$54:G62,G62)-1</f>
        <v>16</v>
      </c>
    </row>
    <row r="63">
      <c r="A63" s="111" t="str">
        <f>Indicadores!A56</f>
        <v>MAT010</v>
      </c>
      <c r="B63" s="111" t="str">
        <f>Indicadores!F56</f>
        <v>Lâmina de Serra Sabre</v>
      </c>
      <c r="C63" s="111" t="str">
        <f>Indicadores!G56</f>
        <v>Corte</v>
      </c>
      <c r="D63" s="101" t="str">
        <f>Indicadores!H56</f>
        <v>Média</v>
      </c>
      <c r="E63" s="103">
        <f>Indicadores!B56</f>
        <v>2</v>
      </c>
      <c r="F63" s="103">
        <f>Indicadores!C56</f>
        <v>3</v>
      </c>
      <c r="G63" s="104">
        <f>Indicadores!D56</f>
        <v>186</v>
      </c>
      <c r="H63" s="113">
        <f>RANK(F63,F$54:F$73,0)+COUNTIF(F$54:F63,F63)-1</f>
        <v>19</v>
      </c>
      <c r="I63" s="113">
        <f>RANK(G63,G$54:G$73,0)+COUNTIF(G$54:G63,G63)-1</f>
        <v>18</v>
      </c>
    </row>
    <row r="64">
      <c r="A64" s="111" t="str">
        <f>Indicadores!A57</f>
        <v>MAT011</v>
      </c>
      <c r="B64" s="111" t="str">
        <f>Indicadores!F57</f>
        <v>Cabo Flexível 2,5 mm² Rolo</v>
      </c>
      <c r="C64" s="111" t="str">
        <f>Indicadores!G57</f>
        <v>Elétrica</v>
      </c>
      <c r="D64" s="101" t="str">
        <f>Indicadores!H57</f>
        <v>Média</v>
      </c>
      <c r="E64" s="103">
        <f>Indicadores!B57</f>
        <v>9</v>
      </c>
      <c r="F64" s="103">
        <f>Indicadores!C57</f>
        <v>11</v>
      </c>
      <c r="G64" s="104">
        <f>Indicadores!D57</f>
        <v>3135</v>
      </c>
      <c r="H64" s="113">
        <f>RANK(F64,F$54:F$73,0)+COUNTIF(F$54:F64,F64)-1</f>
        <v>12</v>
      </c>
      <c r="I64" s="113">
        <f>RANK(G64,G$54:G$73,0)+COUNTIF(G$54:G64,G64)-1</f>
        <v>2</v>
      </c>
    </row>
    <row r="65">
      <c r="A65" s="111" t="str">
        <f>Indicadores!A58</f>
        <v>MAT012</v>
      </c>
      <c r="B65" s="111" t="str">
        <f>Indicadores!F58</f>
        <v>Fita Isolante 19 mm</v>
      </c>
      <c r="C65" s="111" t="str">
        <f>Indicadores!G58</f>
        <v>Elétrica</v>
      </c>
      <c r="D65" s="101" t="str">
        <f>Indicadores!H58</f>
        <v>Baixa</v>
      </c>
      <c r="E65" s="103">
        <f>Indicadores!B58</f>
        <v>6</v>
      </c>
      <c r="F65" s="103">
        <f>Indicadores!C58</f>
        <v>11</v>
      </c>
      <c r="G65" s="104">
        <f>Indicadores!D58</f>
        <v>462</v>
      </c>
      <c r="H65" s="113">
        <f>RANK(F65,F$54:F$73,0)+COUNTIF(F$54:F65,F65)-1</f>
        <v>13</v>
      </c>
      <c r="I65" s="113">
        <f>RANK(G65,G$54:G$73,0)+COUNTIF(G$54:G65,G65)-1</f>
        <v>13</v>
      </c>
    </row>
    <row r="66">
      <c r="A66" s="111" t="str">
        <f>Indicadores!A59</f>
        <v>MAT013</v>
      </c>
      <c r="B66" s="111" t="str">
        <f>Indicadores!F59</f>
        <v>Terminal de Compressão 6 mm²</v>
      </c>
      <c r="C66" s="111" t="str">
        <f>Indicadores!G59</f>
        <v>Elétrica</v>
      </c>
      <c r="D66" s="101" t="str">
        <f>Indicadores!H59</f>
        <v>Média</v>
      </c>
      <c r="E66" s="103">
        <f>Indicadores!B59</f>
        <v>9</v>
      </c>
      <c r="F66" s="103">
        <f>Indicadores!C59</f>
        <v>16</v>
      </c>
      <c r="G66" s="104">
        <f>Indicadores!D59</f>
        <v>448</v>
      </c>
      <c r="H66" s="113">
        <f>RANK(F66,F$54:F$73,0)+COUNTIF(F$54:F66,F66)-1</f>
        <v>10</v>
      </c>
      <c r="I66" s="113">
        <f>RANK(G66,G$54:G$73,0)+COUNTIF(G$54:G66,G66)-1</f>
        <v>14</v>
      </c>
    </row>
    <row r="67">
      <c r="A67" s="111" t="str">
        <f>Indicadores!A60</f>
        <v>MAT014</v>
      </c>
      <c r="B67" s="111" t="str">
        <f>Indicadores!F60</f>
        <v>Disjuntor Tripolar 32 A</v>
      </c>
      <c r="C67" s="111" t="str">
        <f>Indicadores!G60</f>
        <v>Elétrica</v>
      </c>
      <c r="D67" s="101" t="str">
        <f>Indicadores!H60</f>
        <v>Alta</v>
      </c>
      <c r="E67" s="103">
        <f>Indicadores!B60</f>
        <v>4</v>
      </c>
      <c r="F67" s="103">
        <f>Indicadores!C60</f>
        <v>7</v>
      </c>
      <c r="G67" s="104">
        <f>Indicadores!D60</f>
        <v>826</v>
      </c>
      <c r="H67" s="113">
        <f>RANK(F67,F$54:F$73,0)+COUNTIF(F$54:F67,F67)-1</f>
        <v>15</v>
      </c>
      <c r="I67" s="113">
        <f>RANK(G67,G$54:G$73,0)+COUNTIF(G$54:G67,G67)-1</f>
        <v>12</v>
      </c>
    </row>
    <row r="68">
      <c r="A68" s="111" t="str">
        <f>Indicadores!A61</f>
        <v>MAT015</v>
      </c>
      <c r="B68" s="111" t="str">
        <f>Indicadores!F61</f>
        <v>Luva de Raspa</v>
      </c>
      <c r="C68" s="111" t="str">
        <f>Indicadores!G61</f>
        <v>EPI</v>
      </c>
      <c r="D68" s="101" t="str">
        <f>Indicadores!H61</f>
        <v>Média</v>
      </c>
      <c r="E68" s="103">
        <f>Indicadores!B61</f>
        <v>18</v>
      </c>
      <c r="F68" s="103">
        <f>Indicadores!C61</f>
        <v>102</v>
      </c>
      <c r="G68" s="104">
        <f>Indicadores!D61</f>
        <v>1530</v>
      </c>
      <c r="H68" s="113">
        <f>RANK(F68,F$54:F$73,0)+COUNTIF(F$54:F68,F68)-1</f>
        <v>5</v>
      </c>
      <c r="I68" s="113">
        <f>RANK(G68,G$54:G$73,0)+COUNTIF(G$54:G68,G68)-1</f>
        <v>7</v>
      </c>
    </row>
    <row r="69">
      <c r="A69" s="111" t="str">
        <f>Indicadores!A62</f>
        <v>MAT016</v>
      </c>
      <c r="B69" s="111" t="str">
        <f>Indicadores!F62</f>
        <v>Óculos de Proteção Incolor</v>
      </c>
      <c r="C69" s="111" t="str">
        <f>Indicadores!G62</f>
        <v>EPI</v>
      </c>
      <c r="D69" s="101" t="str">
        <f>Indicadores!H62</f>
        <v>Média</v>
      </c>
      <c r="E69" s="103">
        <f>Indicadores!B62</f>
        <v>10</v>
      </c>
      <c r="F69" s="103">
        <f>Indicadores!C62</f>
        <v>55</v>
      </c>
      <c r="G69" s="104">
        <f>Indicadores!D62</f>
        <v>357.5</v>
      </c>
      <c r="H69" s="113">
        <f>RANK(F69,F$54:F$73,0)+COUNTIF(F$54:F69,F69)-1</f>
        <v>6</v>
      </c>
      <c r="I69" s="113">
        <f>RANK(G69,G$54:G$73,0)+COUNTIF(G$54:G69,G69)-1</f>
        <v>15</v>
      </c>
    </row>
    <row r="70">
      <c r="A70" s="111" t="str">
        <f>Indicadores!A63</f>
        <v>MAT017</v>
      </c>
      <c r="B70" s="111" t="str">
        <f>Indicadores!F63</f>
        <v>Máscara Respiratória PFF2</v>
      </c>
      <c r="C70" s="111" t="str">
        <f>Indicadores!G63</f>
        <v>EPI</v>
      </c>
      <c r="D70" s="101" t="str">
        <f>Indicadores!H63</f>
        <v>Alta</v>
      </c>
      <c r="E70" s="103">
        <f>Indicadores!B63</f>
        <v>6</v>
      </c>
      <c r="F70" s="103">
        <f>Indicadores!C63</f>
        <v>12</v>
      </c>
      <c r="G70" s="104">
        <f>Indicadores!D63</f>
        <v>864</v>
      </c>
      <c r="H70" s="113">
        <f>RANK(F70,F$54:F$73,0)+COUNTIF(F$54:F70,F70)-1</f>
        <v>11</v>
      </c>
      <c r="I70" s="113">
        <f>RANK(G70,G$54:G$73,0)+COUNTIF(G$54:G70,G70)-1</f>
        <v>10</v>
      </c>
    </row>
    <row r="71">
      <c r="A71" s="111" t="str">
        <f>Indicadores!A64</f>
        <v>MAT018</v>
      </c>
      <c r="B71" s="111" t="str">
        <f>Indicadores!F64</f>
        <v>Chave Combinada 17 mm</v>
      </c>
      <c r="C71" s="111" t="str">
        <f>Indicadores!G64</f>
        <v>Ferramentas</v>
      </c>
      <c r="D71" s="101" t="str">
        <f>Indicadores!H64</f>
        <v>Baixa</v>
      </c>
      <c r="E71" s="103">
        <f>Indicadores!B64</f>
        <v>3</v>
      </c>
      <c r="F71" s="103">
        <f>Indicadores!C64</f>
        <v>5</v>
      </c>
      <c r="G71" s="104">
        <f>Indicadores!D64</f>
        <v>120</v>
      </c>
      <c r="H71" s="113">
        <f>RANK(F71,F$54:F$73,0)+COUNTIF(F$54:F71,F71)-1</f>
        <v>18</v>
      </c>
      <c r="I71" s="113">
        <f>RANK(G71,G$54:G$73,0)+COUNTIF(G$54:G71,G71)-1</f>
        <v>19</v>
      </c>
    </row>
    <row r="72">
      <c r="A72" s="111" t="str">
        <f>Indicadores!A65</f>
        <v>MAT019</v>
      </c>
      <c r="B72" s="111" t="str">
        <f>Indicadores!F65</f>
        <v>Trena de Aço 5 m</v>
      </c>
      <c r="C72" s="111" t="str">
        <f>Indicadores!G65</f>
        <v>Ferramentas</v>
      </c>
      <c r="D72" s="101" t="str">
        <f>Indicadores!H65</f>
        <v>Baixa</v>
      </c>
      <c r="E72" s="103">
        <f>Indicadores!B65</f>
        <v>1</v>
      </c>
      <c r="F72" s="103">
        <f>Indicadores!C65</f>
        <v>1</v>
      </c>
      <c r="G72" s="104">
        <f>Indicadores!D65</f>
        <v>19</v>
      </c>
      <c r="H72" s="113">
        <f>RANK(F72,F$54:F$73,0)+COUNTIF(F$54:F72,F72)-1</f>
        <v>20</v>
      </c>
      <c r="I72" s="113">
        <f>RANK(G72,G$54:G$73,0)+COUNTIF(G$54:G72,G72)-1</f>
        <v>20</v>
      </c>
    </row>
    <row r="73">
      <c r="A73" s="111" t="str">
        <f>Indicadores!A66</f>
        <v>MAT020</v>
      </c>
      <c r="B73" s="111" t="str">
        <f>Indicadores!F66</f>
        <v>Broca de Aço Rápido 10 mm</v>
      </c>
      <c r="C73" s="111" t="str">
        <f>Indicadores!G66</f>
        <v>Ferramentas</v>
      </c>
      <c r="D73" s="101" t="str">
        <f>Indicadores!H66</f>
        <v>Média</v>
      </c>
      <c r="E73" s="103">
        <f>Indicadores!B66</f>
        <v>5</v>
      </c>
      <c r="F73" s="103">
        <f>Indicadores!C66</f>
        <v>11</v>
      </c>
      <c r="G73" s="104">
        <f>Indicadores!D66</f>
        <v>231</v>
      </c>
      <c r="H73" s="113">
        <f>RANK(F73,F$54:F$73,0)+COUNTIF(F$54:F73,F73)-1</f>
        <v>14</v>
      </c>
      <c r="I73" s="113">
        <f>RANK(G73,G$54:G$73,0)+COUNTIF(G$54:G73,G73)-1</f>
        <v>17</v>
      </c>
    </row>
    <row r="74">
      <c r="A74" s="107" t="inlineStr">
        <is>
          <t>Total</t>
        </is>
      </c>
      <c r="E74" s="109">
        <f>SUM(E54:E73)</f>
        <v>180</v>
      </c>
      <c r="F74" s="109">
        <f>SUM(F54:F73)</f>
        <v>1647</v>
      </c>
      <c r="G74" s="110">
        <f>SUM(G54:G73)</f>
        <v>24606.2</v>
      </c>
    </row>
    <row r="77">
      <c r="A77" s="17" t="inlineStr">
        <is>
          <t>5a. Pareto de custo por material</t>
        </is>
      </c>
    </row>
    <row r="78" ht="30" customHeight="1">
      <c r="A78" s="100" t="inlineStr">
        <is>
          <t>Posição</t>
        </is>
      </c>
      <c r="B78" s="100" t="inlineStr">
        <is>
          <t>Material_ID</t>
        </is>
      </c>
      <c r="C78" s="100" t="inlineStr">
        <is>
          <t>Material</t>
        </is>
      </c>
      <c r="D78" s="100" t="inlineStr">
        <is>
          <t>Custo estimado</t>
        </is>
      </c>
      <c r="E78" s="100" t="inlineStr">
        <is>
          <t>% do custo</t>
        </is>
      </c>
      <c r="F78" s="100" t="inlineStr">
        <is>
          <t>% acumulado</t>
        </is>
      </c>
      <c r="G78" s="100" t="str">
        <f>"Limite "&amp;ROUND(pLimitePareto*100,0)&amp;"%"</f>
        <v>Limite 80%</v>
      </c>
      <c r="H78" s="100" t="inlineStr">
        <is>
          <t>Faixa</t>
        </is>
      </c>
      <c r="I78" s="100" t="str">
        <f>"Núcleo (até "&amp;ROUND(pLimitePareto*100,0)&amp;"% do custo)"</f>
        <v>Núcleo (até 80% do custo)</v>
      </c>
      <c r="J78" s="100" t="inlineStr">
        <is>
          <t>Demais materiais</t>
        </is>
      </c>
    </row>
    <row r="79">
      <c r="A79" s="113">
        <f>ROWS(A$79:A79)</f>
        <v>1</v>
      </c>
      <c r="B79" s="111" t="str">
        <f>INDEX($A$54:$A$73,MATCH($A79,$I$54:$I$73,0))</f>
        <v>MAT008</v>
      </c>
      <c r="C79" s="111" t="str">
        <f>INDEX($B$54:$B$73,MATCH($A79,$I$54:$I$73,0))</f>
        <v>Disco de Corte 4,5 pol</v>
      </c>
      <c r="D79" s="104">
        <f>INDEX($G$54:$G$73,MATCH($A79,$I$54:$I$73,0))</f>
        <v>4053.3</v>
      </c>
      <c r="E79" s="112">
        <f>IF(Indicadores!$B$7=0,0,D79/Indicadores!$B$7)</f>
        <v>0.164726776178362</v>
      </c>
      <c r="F79" s="112">
        <f>SUM(E$79:E79)</f>
        <v>0.164726776178362</v>
      </c>
      <c r="G79" s="116">
        <f>pLimitePareto</f>
        <v>0.8</v>
      </c>
      <c r="H79" s="101" t="str">
        <f>IF(F79-E79&lt;G79,"Núcleo","Cauda")</f>
        <v>Núcleo</v>
      </c>
      <c r="I79" s="104">
        <f>IF(H79="Núcleo",D79,0)</f>
        <v>4053.3</v>
      </c>
      <c r="J79" s="104">
        <f>IF(H79="Cauda",D79,0)</f>
        <v>0</v>
      </c>
    </row>
    <row r="80">
      <c r="A80" s="113">
        <f>ROWS(A$79:A80)</f>
        <v>2</v>
      </c>
      <c r="B80" s="111" t="str">
        <f>INDEX($A$54:$A$73,MATCH($A80,$I$54:$I$73,0))</f>
        <v>MAT011</v>
      </c>
      <c r="C80" s="111" t="str">
        <f>INDEX($B$54:$B$73,MATCH($A80,$I$54:$I$73,0))</f>
        <v>Cabo Flexível 2,5 mm² Rolo</v>
      </c>
      <c r="D80" s="104">
        <f>INDEX($G$54:$G$73,MATCH($A80,$I$54:$I$73,0))</f>
        <v>3135</v>
      </c>
      <c r="E80" s="112">
        <f>IF(Indicadores!$B$7=0,0,D80/Indicadores!$B$7)</f>
        <v>0.127406913704676</v>
      </c>
      <c r="F80" s="112">
        <f>SUM(E$79:E80)</f>
        <v>0.292133689883038</v>
      </c>
      <c r="G80" s="116">
        <f>pLimitePareto</f>
        <v>0.8</v>
      </c>
      <c r="H80" s="101" t="str">
        <f>IF(F80-E80&lt;G80,"Núcleo","Cauda")</f>
        <v>Núcleo</v>
      </c>
      <c r="I80" s="104">
        <f>IF(H80="Núcleo",D80,0)</f>
        <v>3135</v>
      </c>
      <c r="J80" s="104">
        <f>IF(H80="Cauda",D80,0)</f>
        <v>0</v>
      </c>
    </row>
    <row r="81">
      <c r="A81" s="113">
        <f>ROWS(A$79:A81)</f>
        <v>3</v>
      </c>
      <c r="B81" s="111" t="str">
        <f>INDEX($A$54:$A$73,MATCH($A81,$I$54:$I$73,0))</f>
        <v>MAT007</v>
      </c>
      <c r="C81" s="111" t="str">
        <f>INDEX($B$54:$B$73,MATCH($A81,$I$54:$I$73,0))</f>
        <v>Disco de Corte 7 pol</v>
      </c>
      <c r="D81" s="104">
        <f>INDEX($G$54:$G$73,MATCH($A81,$I$54:$I$73,0))</f>
        <v>3050</v>
      </c>
      <c r="E81" s="112">
        <f>IF(Indicadores!$B$7=0,0,D81/Indicadores!$B$7)</f>
        <v>0.123952499776479</v>
      </c>
      <c r="F81" s="112">
        <f>SUM(E$79:E81)</f>
        <v>0.416086189659517</v>
      </c>
      <c r="G81" s="116">
        <f>pLimitePareto</f>
        <v>0.8</v>
      </c>
      <c r="H81" s="101" t="str">
        <f>IF(F81-E81&lt;G81,"Núcleo","Cauda")</f>
        <v>Núcleo</v>
      </c>
      <c r="I81" s="104">
        <f>IF(H81="Núcleo",D81,0)</f>
        <v>3050</v>
      </c>
      <c r="J81" s="104">
        <f>IF(H81="Cauda",D81,0)</f>
        <v>0</v>
      </c>
    </row>
    <row r="82">
      <c r="A82" s="113">
        <f>ROWS(A$79:A82)</f>
        <v>4</v>
      </c>
      <c r="B82" s="111" t="str">
        <f>INDEX($A$54:$A$73,MATCH($A82,$I$54:$I$73,0))</f>
        <v>MAT005</v>
      </c>
      <c r="C82" s="111" t="str">
        <f>INDEX($B$54:$B$73,MATCH($A82,$I$54:$I$73,0))</f>
        <v>Eletrodo Revestido 2,5 mm</v>
      </c>
      <c r="D82" s="104">
        <f>INDEX($G$54:$G$73,MATCH($A82,$I$54:$I$73,0))</f>
        <v>2784</v>
      </c>
      <c r="E82" s="112">
        <f>IF(Indicadores!$B$7=0,0,D82/Indicadores!$B$7)</f>
        <v>0.113142216189416</v>
      </c>
      <c r="F82" s="112">
        <f>SUM(E$79:E82)</f>
        <v>0.529228405848932</v>
      </c>
      <c r="G82" s="116">
        <f>pLimitePareto</f>
        <v>0.8</v>
      </c>
      <c r="H82" s="101" t="str">
        <f>IF(F82-E82&lt;G82,"Núcleo","Cauda")</f>
        <v>Núcleo</v>
      </c>
      <c r="I82" s="104">
        <f>IF(H82="Núcleo",D82,0)</f>
        <v>2784</v>
      </c>
      <c r="J82" s="104">
        <f>IF(H82="Cauda",D82,0)</f>
        <v>0</v>
      </c>
    </row>
    <row r="83">
      <c r="A83" s="113">
        <f>ROWS(A$79:A83)</f>
        <v>5</v>
      </c>
      <c r="B83" s="111" t="str">
        <f>INDEX($A$54:$A$73,MATCH($A83,$I$54:$I$73,0))</f>
        <v>MAT002</v>
      </c>
      <c r="C83" s="111" t="str">
        <f>INDEX($B$54:$B$73,MATCH($A83,$I$54:$I$73,0))</f>
        <v>Disco Flap 4,5 pol Grão 60</v>
      </c>
      <c r="D83" s="104">
        <f>INDEX($G$54:$G$73,MATCH($A83,$I$54:$I$73,0))</f>
        <v>1687.2</v>
      </c>
      <c r="E83" s="112">
        <f>IF(Indicadores!$B$7=0,0,D83/Indicadores!$B$7)</f>
        <v>0.0685680844665166</v>
      </c>
      <c r="F83" s="112">
        <f>SUM(E$79:E83)</f>
        <v>0.597796490315449</v>
      </c>
      <c r="G83" s="116">
        <f>pLimitePareto</f>
        <v>0.8</v>
      </c>
      <c r="H83" s="101" t="str">
        <f>IF(F83-E83&lt;G83,"Núcleo","Cauda")</f>
        <v>Núcleo</v>
      </c>
      <c r="I83" s="104">
        <f>IF(H83="Núcleo",D83,0)</f>
        <v>1687.2</v>
      </c>
      <c r="J83" s="104">
        <f>IF(H83="Cauda",D83,0)</f>
        <v>0</v>
      </c>
    </row>
    <row r="84">
      <c r="A84" s="113">
        <f>ROWS(A$79:A84)</f>
        <v>6</v>
      </c>
      <c r="B84" s="111" t="str">
        <f>INDEX($A$54:$A$73,MATCH($A84,$I$54:$I$73,0))</f>
        <v>MAT001</v>
      </c>
      <c r="C84" s="111" t="str">
        <f>INDEX($B$54:$B$73,MATCH($A84,$I$54:$I$73,0))</f>
        <v>Disco de Desbaste 7 pol</v>
      </c>
      <c r="D84" s="104">
        <f>INDEX($G$54:$G$73,MATCH($A84,$I$54:$I$73,0))</f>
        <v>1656.2</v>
      </c>
      <c r="E84" s="112">
        <f>IF(Indicadores!$B$7=0,0,D84/Indicadores!$B$7)</f>
        <v>0.0673082393868212</v>
      </c>
      <c r="F84" s="112">
        <f>SUM(E$79:E84)</f>
        <v>0.66510472970227</v>
      </c>
      <c r="G84" s="116">
        <f>pLimitePareto</f>
        <v>0.8</v>
      </c>
      <c r="H84" s="101" t="str">
        <f>IF(F84-E84&lt;G84,"Núcleo","Cauda")</f>
        <v>Núcleo</v>
      </c>
      <c r="I84" s="104">
        <f>IF(H84="Núcleo",D84,0)</f>
        <v>1656.2</v>
      </c>
      <c r="J84" s="104">
        <f>IF(H84="Cauda",D84,0)</f>
        <v>0</v>
      </c>
    </row>
    <row r="85">
      <c r="A85" s="113">
        <f>ROWS(A$79:A85)</f>
        <v>7</v>
      </c>
      <c r="B85" s="111" t="str">
        <f>INDEX($A$54:$A$73,MATCH($A85,$I$54:$I$73,0))</f>
        <v>MAT015</v>
      </c>
      <c r="C85" s="111" t="str">
        <f>INDEX($B$54:$B$73,MATCH($A85,$I$54:$I$73,0))</f>
        <v>Luva de Raspa</v>
      </c>
      <c r="D85" s="104">
        <f>INDEX($G$54:$G$73,MATCH($A85,$I$54:$I$73,0))</f>
        <v>1530</v>
      </c>
      <c r="E85" s="112">
        <f>IF(Indicadores!$B$7=0,0,D85/Indicadores!$B$7)</f>
        <v>0.0621794507075453</v>
      </c>
      <c r="F85" s="112">
        <f>SUM(E$79:E85)</f>
        <v>0.727284180409816</v>
      </c>
      <c r="G85" s="116">
        <f>pLimitePareto</f>
        <v>0.8</v>
      </c>
      <c r="H85" s="101" t="str">
        <f>IF(F85-E85&lt;G85,"Núcleo","Cauda")</f>
        <v>Núcleo</v>
      </c>
      <c r="I85" s="104">
        <f>IF(H85="Núcleo",D85,0)</f>
        <v>1530</v>
      </c>
      <c r="J85" s="104">
        <f>IF(H85="Cauda",D85,0)</f>
        <v>0</v>
      </c>
    </row>
    <row r="86">
      <c r="A86" s="113">
        <f>ROWS(A$79:A86)</f>
        <v>8</v>
      </c>
      <c r="B86" s="111" t="str">
        <f>INDEX($A$54:$A$73,MATCH($A86,$I$54:$I$73,0))</f>
        <v>MAT006</v>
      </c>
      <c r="C86" s="111" t="str">
        <f>INDEX($B$54:$B$73,MATCH($A86,$I$54:$I$73,0))</f>
        <v>Arame MIG 1,0 mm Bobina</v>
      </c>
      <c r="D86" s="104">
        <f>INDEX($G$54:$G$73,MATCH($A86,$I$54:$I$73,0))</f>
        <v>1050</v>
      </c>
      <c r="E86" s="112">
        <f>IF(Indicadores!$B$7=0,0,D86/Indicadores!$B$7)</f>
        <v>0.0426721720541977</v>
      </c>
      <c r="F86" s="112">
        <f>SUM(E$79:E86)</f>
        <v>0.769956352464013</v>
      </c>
      <c r="G86" s="116">
        <f>pLimitePareto</f>
        <v>0.8</v>
      </c>
      <c r="H86" s="101" t="str">
        <f>IF(F86-E86&lt;G86,"Núcleo","Cauda")</f>
        <v>Núcleo</v>
      </c>
      <c r="I86" s="104">
        <f>IF(H86="Núcleo",D86,0)</f>
        <v>1050</v>
      </c>
      <c r="J86" s="104">
        <f>IF(H86="Cauda",D86,0)</f>
        <v>0</v>
      </c>
    </row>
    <row r="87">
      <c r="A87" s="113">
        <f>ROWS(A$79:A87)</f>
        <v>9</v>
      </c>
      <c r="B87" s="111" t="str">
        <f>INDEX($A$54:$A$73,MATCH($A87,$I$54:$I$73,0))</f>
        <v>MAT004</v>
      </c>
      <c r="C87" s="111" t="str">
        <f>INDEX($B$54:$B$73,MATCH($A87,$I$54:$I$73,0))</f>
        <v>Bico de Contato MIG 1,0 mm</v>
      </c>
      <c r="D87" s="104">
        <f>INDEX($G$54:$G$73,MATCH($A87,$I$54:$I$73,0))</f>
        <v>1035</v>
      </c>
      <c r="E87" s="112">
        <f>IF(Indicadores!$B$7=0,0,D87/Indicadores!$B$7)</f>
        <v>0.0420625695962806</v>
      </c>
      <c r="F87" s="112">
        <f>SUM(E$79:E87)</f>
        <v>0.812018922060294</v>
      </c>
      <c r="G87" s="116">
        <f>pLimitePareto</f>
        <v>0.8</v>
      </c>
      <c r="H87" s="101" t="str">
        <f>IF(F87-E87&lt;G87,"Núcleo","Cauda")</f>
        <v>Núcleo</v>
      </c>
      <c r="I87" s="104">
        <f>IF(H87="Núcleo",D87,0)</f>
        <v>1035</v>
      </c>
      <c r="J87" s="104">
        <f>IF(H87="Cauda",D87,0)</f>
        <v>0</v>
      </c>
    </row>
    <row r="88">
      <c r="A88" s="113">
        <f>ROWS(A$79:A88)</f>
        <v>10</v>
      </c>
      <c r="B88" s="111" t="str">
        <f>INDEX($A$54:$A$73,MATCH($A88,$I$54:$I$73,0))</f>
        <v>MAT017</v>
      </c>
      <c r="C88" s="111" t="str">
        <f>INDEX($B$54:$B$73,MATCH($A88,$I$54:$I$73,0))</f>
        <v>Máscara Respiratória PFF2</v>
      </c>
      <c r="D88" s="104">
        <f>INDEX($G$54:$G$73,MATCH($A88,$I$54:$I$73,0))</f>
        <v>864</v>
      </c>
      <c r="E88" s="112">
        <f>IF(Indicadores!$B$7=0,0,D88/Indicadores!$B$7)</f>
        <v>0.0351131015760256</v>
      </c>
      <c r="F88" s="112">
        <f>SUM(E$79:E88)</f>
        <v>0.847132023636319</v>
      </c>
      <c r="G88" s="116">
        <f>pLimitePareto</f>
        <v>0.8</v>
      </c>
      <c r="H88" s="101" t="str">
        <f>IF(F88-E88&lt;G88,"Núcleo","Cauda")</f>
        <v>Cauda</v>
      </c>
      <c r="I88" s="104">
        <f>IF(H88="Núcleo",D88,0)</f>
        <v>0</v>
      </c>
      <c r="J88" s="104">
        <f>IF(H88="Cauda",D88,0)</f>
        <v>864</v>
      </c>
    </row>
    <row r="89">
      <c r="A89" s="113">
        <f>ROWS(A$79:A89)</f>
        <v>11</v>
      </c>
      <c r="B89" s="111" t="str">
        <f>INDEX($A$54:$A$73,MATCH($A89,$I$54:$I$73,0))</f>
        <v>MAT003</v>
      </c>
      <c r="C89" s="111" t="str">
        <f>INDEX($B$54:$B$73,MATCH($A89,$I$54:$I$73,0))</f>
        <v>Lixa de Ferro Grão 80</v>
      </c>
      <c r="D89" s="104">
        <f>INDEX($G$54:$G$73,MATCH($A89,$I$54:$I$73,0))</f>
        <v>836</v>
      </c>
      <c r="E89" s="112">
        <f>IF(Indicadores!$B$7=0,0,D89/Indicadores!$B$7)</f>
        <v>0.0339751769879136</v>
      </c>
      <c r="F89" s="112">
        <f>SUM(E$79:E89)</f>
        <v>0.881107200624233</v>
      </c>
      <c r="G89" s="116">
        <f>pLimitePareto</f>
        <v>0.8</v>
      </c>
      <c r="H89" s="101" t="str">
        <f>IF(F89-E89&lt;G89,"Núcleo","Cauda")</f>
        <v>Cauda</v>
      </c>
      <c r="I89" s="104">
        <f>IF(H89="Núcleo",D89,0)</f>
        <v>0</v>
      </c>
      <c r="J89" s="104">
        <f>IF(H89="Cauda",D89,0)</f>
        <v>836</v>
      </c>
    </row>
    <row r="90">
      <c r="A90" s="113">
        <f>ROWS(A$79:A90)</f>
        <v>12</v>
      </c>
      <c r="B90" s="111" t="str">
        <f>INDEX($A$54:$A$73,MATCH($A90,$I$54:$I$73,0))</f>
        <v>MAT014</v>
      </c>
      <c r="C90" s="111" t="str">
        <f>INDEX($B$54:$B$73,MATCH($A90,$I$54:$I$73,0))</f>
        <v>Disjuntor Tripolar 32 A</v>
      </c>
      <c r="D90" s="104">
        <f>INDEX($G$54:$G$73,MATCH($A90,$I$54:$I$73,0))</f>
        <v>826</v>
      </c>
      <c r="E90" s="112">
        <f>IF(Indicadores!$B$7=0,0,D90/Indicadores!$B$7)</f>
        <v>0.0335687753493022</v>
      </c>
      <c r="F90" s="112">
        <f>SUM(E$79:E90)</f>
        <v>0.914675975973535</v>
      </c>
      <c r="G90" s="116">
        <f>pLimitePareto</f>
        <v>0.8</v>
      </c>
      <c r="H90" s="101" t="str">
        <f>IF(F90-E90&lt;G90,"Núcleo","Cauda")</f>
        <v>Cauda</v>
      </c>
      <c r="I90" s="104">
        <f>IF(H90="Núcleo",D90,0)</f>
        <v>0</v>
      </c>
      <c r="J90" s="104">
        <f>IF(H90="Cauda",D90,0)</f>
        <v>826</v>
      </c>
    </row>
    <row r="91">
      <c r="A91" s="113">
        <f>ROWS(A$79:A91)</f>
        <v>13</v>
      </c>
      <c r="B91" s="111" t="str">
        <f>INDEX($A$54:$A$73,MATCH($A91,$I$54:$I$73,0))</f>
        <v>MAT012</v>
      </c>
      <c r="C91" s="111" t="str">
        <f>INDEX($B$54:$B$73,MATCH($A91,$I$54:$I$73,0))</f>
        <v>Fita Isolante 19 mm</v>
      </c>
      <c r="D91" s="104">
        <f>INDEX($G$54:$G$73,MATCH($A91,$I$54:$I$73,0))</f>
        <v>462</v>
      </c>
      <c r="E91" s="112">
        <f>IF(Indicadores!$B$7=0,0,D91/Indicadores!$B$7)</f>
        <v>0.018775755703847</v>
      </c>
      <c r="F91" s="112">
        <f>SUM(E$79:E91)</f>
        <v>0.933451731677382</v>
      </c>
      <c r="G91" s="116">
        <f>pLimitePareto</f>
        <v>0.8</v>
      </c>
      <c r="H91" s="101" t="str">
        <f>IF(F91-E91&lt;G91,"Núcleo","Cauda")</f>
        <v>Cauda</v>
      </c>
      <c r="I91" s="104">
        <f>IF(H91="Núcleo",D91,0)</f>
        <v>0</v>
      </c>
      <c r="J91" s="104">
        <f>IF(H91="Cauda",D91,0)</f>
        <v>462</v>
      </c>
    </row>
    <row r="92">
      <c r="A92" s="113">
        <f>ROWS(A$79:A92)</f>
        <v>14</v>
      </c>
      <c r="B92" s="111" t="str">
        <f>INDEX($A$54:$A$73,MATCH($A92,$I$54:$I$73,0))</f>
        <v>MAT013</v>
      </c>
      <c r="C92" s="111" t="str">
        <f>INDEX($B$54:$B$73,MATCH($A92,$I$54:$I$73,0))</f>
        <v>Terminal de Compressão 6 mm²</v>
      </c>
      <c r="D92" s="104">
        <f>INDEX($G$54:$G$73,MATCH($A92,$I$54:$I$73,0))</f>
        <v>448</v>
      </c>
      <c r="E92" s="112">
        <f>IF(Indicadores!$B$7=0,0,D92/Indicadores!$B$7)</f>
        <v>0.018206793409791</v>
      </c>
      <c r="F92" s="112">
        <f>SUM(E$79:E92)</f>
        <v>0.951658525087173</v>
      </c>
      <c r="G92" s="116">
        <f>pLimitePareto</f>
        <v>0.8</v>
      </c>
      <c r="H92" s="101" t="str">
        <f>IF(F92-E92&lt;G92,"Núcleo","Cauda")</f>
        <v>Cauda</v>
      </c>
      <c r="I92" s="104">
        <f>IF(H92="Núcleo",D92,0)</f>
        <v>0</v>
      </c>
      <c r="J92" s="104">
        <f>IF(H92="Cauda",D92,0)</f>
        <v>448</v>
      </c>
    </row>
    <row r="93">
      <c r="A93" s="113">
        <f>ROWS(A$79:A93)</f>
        <v>15</v>
      </c>
      <c r="B93" s="111" t="str">
        <f>INDEX($A$54:$A$73,MATCH($A93,$I$54:$I$73,0))</f>
        <v>MAT016</v>
      </c>
      <c r="C93" s="111" t="str">
        <f>INDEX($B$54:$B$73,MATCH($A93,$I$54:$I$73,0))</f>
        <v>Óculos de Proteção Incolor</v>
      </c>
      <c r="D93" s="104">
        <f>INDEX($G$54:$G$73,MATCH($A93,$I$54:$I$73,0))</f>
        <v>357.5</v>
      </c>
      <c r="E93" s="112">
        <f>IF(Indicadores!$B$7=0,0,D93/Indicadores!$B$7)</f>
        <v>0.0145288585803578</v>
      </c>
      <c r="F93" s="112">
        <f>SUM(E$79:E93)</f>
        <v>0.966187383667531</v>
      </c>
      <c r="G93" s="116">
        <f>pLimitePareto</f>
        <v>0.8</v>
      </c>
      <c r="H93" s="101" t="str">
        <f>IF(F93-E93&lt;G93,"Núcleo","Cauda")</f>
        <v>Cauda</v>
      </c>
      <c r="I93" s="104">
        <f>IF(H93="Núcleo",D93,0)</f>
        <v>0</v>
      </c>
      <c r="J93" s="104">
        <f>IF(H93="Cauda",D93,0)</f>
        <v>357.5</v>
      </c>
    </row>
    <row r="94">
      <c r="A94" s="113">
        <f>ROWS(A$79:A94)</f>
        <v>16</v>
      </c>
      <c r="B94" s="111" t="str">
        <f>INDEX($A$54:$A$73,MATCH($A94,$I$54:$I$73,0))</f>
        <v>MAT009</v>
      </c>
      <c r="C94" s="111" t="str">
        <f>INDEX($B$54:$B$73,MATCH($A94,$I$54:$I$73,0))</f>
        <v>Serra Copo 51 mm</v>
      </c>
      <c r="D94" s="104">
        <f>INDEX($G$54:$G$73,MATCH($A94,$I$54:$I$73,0))</f>
        <v>276</v>
      </c>
      <c r="E94" s="112">
        <f>IF(Indicadores!$B$7=0,0,D94/Indicadores!$B$7)</f>
        <v>0.0112166852256748</v>
      </c>
      <c r="F94" s="112">
        <f>SUM(E$79:E94)</f>
        <v>0.977404068893206</v>
      </c>
      <c r="G94" s="116">
        <f>pLimitePareto</f>
        <v>0.8</v>
      </c>
      <c r="H94" s="101" t="str">
        <f>IF(F94-E94&lt;G94,"Núcleo","Cauda")</f>
        <v>Cauda</v>
      </c>
      <c r="I94" s="104">
        <f>IF(H94="Núcleo",D94,0)</f>
        <v>0</v>
      </c>
      <c r="J94" s="104">
        <f>IF(H94="Cauda",D94,0)</f>
        <v>276</v>
      </c>
    </row>
    <row r="95">
      <c r="A95" s="113">
        <f>ROWS(A$79:A95)</f>
        <v>17</v>
      </c>
      <c r="B95" s="111" t="str">
        <f>INDEX($A$54:$A$73,MATCH($A95,$I$54:$I$73,0))</f>
        <v>MAT020</v>
      </c>
      <c r="C95" s="111" t="str">
        <f>INDEX($B$54:$B$73,MATCH($A95,$I$54:$I$73,0))</f>
        <v>Broca de Aço Rápido 10 mm</v>
      </c>
      <c r="D95" s="104">
        <f>INDEX($G$54:$G$73,MATCH($A95,$I$54:$I$73,0))</f>
        <v>231</v>
      </c>
      <c r="E95" s="112">
        <f>IF(Indicadores!$B$7=0,0,D95/Indicadores!$B$7)</f>
        <v>0.0093878778519235</v>
      </c>
      <c r="F95" s="112">
        <f>SUM(E$79:E95)</f>
        <v>0.986791946745129</v>
      </c>
      <c r="G95" s="116">
        <f>pLimitePareto</f>
        <v>0.8</v>
      </c>
      <c r="H95" s="101" t="str">
        <f>IF(F95-E95&lt;G95,"Núcleo","Cauda")</f>
        <v>Cauda</v>
      </c>
      <c r="I95" s="104">
        <f>IF(H95="Núcleo",D95,0)</f>
        <v>0</v>
      </c>
      <c r="J95" s="104">
        <f>IF(H95="Cauda",D95,0)</f>
        <v>231</v>
      </c>
    </row>
    <row r="96">
      <c r="A96" s="113">
        <f>ROWS(A$79:A96)</f>
        <v>18</v>
      </c>
      <c r="B96" s="111" t="str">
        <f>INDEX($A$54:$A$73,MATCH($A96,$I$54:$I$73,0))</f>
        <v>MAT010</v>
      </c>
      <c r="C96" s="111" t="str">
        <f>INDEX($B$54:$B$73,MATCH($A96,$I$54:$I$73,0))</f>
        <v>Lâmina de Serra Sabre</v>
      </c>
      <c r="D96" s="104">
        <f>INDEX($G$54:$G$73,MATCH($A96,$I$54:$I$73,0))</f>
        <v>186</v>
      </c>
      <c r="E96" s="112">
        <f>IF(Indicadores!$B$7=0,0,D96/Indicadores!$B$7)</f>
        <v>0.00755907047817217</v>
      </c>
      <c r="F96" s="112">
        <f>SUM(E$79:E96)</f>
        <v>0.994351017223301</v>
      </c>
      <c r="G96" s="116">
        <f>pLimitePareto</f>
        <v>0.8</v>
      </c>
      <c r="H96" s="101" t="str">
        <f>IF(F96-E96&lt;G96,"Núcleo","Cauda")</f>
        <v>Cauda</v>
      </c>
      <c r="I96" s="104">
        <f>IF(H96="Núcleo",D96,0)</f>
        <v>0</v>
      </c>
      <c r="J96" s="104">
        <f>IF(H96="Cauda",D96,0)</f>
        <v>186</v>
      </c>
    </row>
    <row r="97">
      <c r="A97" s="113">
        <f>ROWS(A$79:A97)</f>
        <v>19</v>
      </c>
      <c r="B97" s="111" t="str">
        <f>INDEX($A$54:$A$73,MATCH($A97,$I$54:$I$73,0))</f>
        <v>MAT018</v>
      </c>
      <c r="C97" s="111" t="str">
        <f>INDEX($B$54:$B$73,MATCH($A97,$I$54:$I$73,0))</f>
        <v>Chave Combinada 17 mm</v>
      </c>
      <c r="D97" s="104">
        <f>INDEX($G$54:$G$73,MATCH($A97,$I$54:$I$73,0))</f>
        <v>120</v>
      </c>
      <c r="E97" s="112">
        <f>IF(Indicadores!$B$7=0,0,D97/Indicadores!$B$7)</f>
        <v>0.00487681966333688</v>
      </c>
      <c r="F97" s="112">
        <f>SUM(E$79:E97)</f>
        <v>0.999227836886638</v>
      </c>
      <c r="G97" s="116">
        <f>pLimitePareto</f>
        <v>0.8</v>
      </c>
      <c r="H97" s="101" t="str">
        <f>IF(F97-E97&lt;G97,"Núcleo","Cauda")</f>
        <v>Cauda</v>
      </c>
      <c r="I97" s="104">
        <f>IF(H97="Núcleo",D97,0)</f>
        <v>0</v>
      </c>
      <c r="J97" s="104">
        <f>IF(H97="Cauda",D97,0)</f>
        <v>120</v>
      </c>
    </row>
    <row r="98">
      <c r="A98" s="113">
        <f>ROWS(A$79:A98)</f>
        <v>20</v>
      </c>
      <c r="B98" s="111" t="str">
        <f>INDEX($A$54:$A$73,MATCH($A98,$I$54:$I$73,0))</f>
        <v>MAT019</v>
      </c>
      <c r="C98" s="111" t="str">
        <f>INDEX($B$54:$B$73,MATCH($A98,$I$54:$I$73,0))</f>
        <v>Trena de Aço 5 m</v>
      </c>
      <c r="D98" s="104">
        <f>INDEX($G$54:$G$73,MATCH($A98,$I$54:$I$73,0))</f>
        <v>19</v>
      </c>
      <c r="E98" s="112">
        <f>IF(Indicadores!$B$7=0,0,D98/Indicadores!$B$7)</f>
        <v>0.000772163113361673</v>
      </c>
      <c r="F98" s="112">
        <f>SUM(E$79:E98)</f>
        <v>1</v>
      </c>
      <c r="G98" s="116">
        <f>pLimitePareto</f>
        <v>0.8</v>
      </c>
      <c r="H98" s="101" t="str">
        <f>IF(F98-E98&lt;G98,"Núcleo","Cauda")</f>
        <v>Cauda</v>
      </c>
      <c r="I98" s="104">
        <f>IF(H98="Núcleo",D98,0)</f>
        <v>0</v>
      </c>
      <c r="J98" s="104">
        <f>IF(H98="Cauda",D98,0)</f>
        <v>19</v>
      </c>
    </row>
    <row r="99">
      <c r="A99" s="107" t="inlineStr">
        <is>
          <t>Total</t>
        </is>
      </c>
      <c r="D99" s="110">
        <f>SUM(D79:D98)</f>
        <v>24606.2</v>
      </c>
      <c r="E99" s="114">
        <f>SUM(E79:E98)</f>
        <v>1</v>
      </c>
    </row>
    <row r="102">
      <c r="A102" s="17" t="inlineStr">
        <is>
          <t>5b. Pareto de consumo por material</t>
        </is>
      </c>
    </row>
    <row r="103" ht="30" customHeight="1">
      <c r="A103" s="100" t="inlineStr">
        <is>
          <t>Posição</t>
        </is>
      </c>
      <c r="B103" s="100" t="inlineStr">
        <is>
          <t>Material_ID</t>
        </is>
      </c>
      <c r="C103" s="100" t="inlineStr">
        <is>
          <t>Material</t>
        </is>
      </c>
      <c r="D103" s="100" t="inlineStr">
        <is>
          <t>Unidades consumidas</t>
        </is>
      </c>
      <c r="E103" s="100" t="inlineStr">
        <is>
          <t>% das unidades</t>
        </is>
      </c>
      <c r="F103" s="100" t="inlineStr">
        <is>
          <t>% acumulado</t>
        </is>
      </c>
      <c r="G103" s="100" t="str">
        <f>"Limite "&amp;ROUND(pLimitePareto*100,0)&amp;"%"</f>
        <v>Limite 80%</v>
      </c>
      <c r="H103" s="100" t="inlineStr">
        <is>
          <t>Faixa</t>
        </is>
      </c>
      <c r="I103" s="100" t="str">
        <f>"Núcleo (até "&amp;ROUND(pLimitePareto*100,0)&amp;"% das unidades)"</f>
        <v>Núcleo (até 80% das unidades)</v>
      </c>
      <c r="J103" s="100" t="inlineStr">
        <is>
          <t>Demais materiais</t>
        </is>
      </c>
    </row>
    <row r="104">
      <c r="A104" s="113">
        <f>ROWS(A$104:A104)</f>
        <v>1</v>
      </c>
      <c r="B104" s="111" t="str">
        <f>INDEX($A$54:$A$73,MATCH($A104,$H$54:$H$73,0))</f>
        <v>MAT008</v>
      </c>
      <c r="C104" s="111" t="str">
        <f>INDEX($B$54:$B$73,MATCH($A104,$H$54:$H$73,0))</f>
        <v>Disco de Corte 4,5 pol</v>
      </c>
      <c r="D104" s="103">
        <f>INDEX($F$54:$F$73,MATCH($A104,$H$54:$H$73,0))</f>
        <v>687</v>
      </c>
      <c r="E104" s="112">
        <f>IF(Indicadores!$B$6=0,0,D104/Indicadores!$B$6)</f>
        <v>0.41712204007286</v>
      </c>
      <c r="F104" s="112">
        <f>SUM(E$104:E104)</f>
        <v>0.41712204007286</v>
      </c>
      <c r="G104" s="116">
        <f>pLimitePareto</f>
        <v>0.8</v>
      </c>
      <c r="H104" s="101" t="str">
        <f>IF(F104-E104&lt;G104,"Núcleo","Cauda")</f>
        <v>Núcleo</v>
      </c>
      <c r="I104" s="103">
        <f>IF(H104="Núcleo",D104,0)</f>
        <v>687</v>
      </c>
      <c r="J104" s="103">
        <f>IF(H104="Cauda",D104,0)</f>
        <v>0</v>
      </c>
    </row>
    <row r="105">
      <c r="A105" s="113">
        <f>ROWS(A$104:A105)</f>
        <v>2</v>
      </c>
      <c r="B105" s="111" t="str">
        <f>INDEX($A$54:$A$73,MATCH($A105,$H$54:$H$73,0))</f>
        <v>MAT007</v>
      </c>
      <c r="C105" s="111" t="str">
        <f>INDEX($B$54:$B$73,MATCH($A105,$H$54:$H$73,0))</f>
        <v>Disco de Corte 7 pol</v>
      </c>
      <c r="D105" s="103">
        <f>INDEX($F$54:$F$73,MATCH($A105,$H$54:$H$73,0))</f>
        <v>244</v>
      </c>
      <c r="E105" s="112">
        <f>IF(Indicadores!$B$6=0,0,D105/Indicadores!$B$6)</f>
        <v>0.148148148148148</v>
      </c>
      <c r="F105" s="112">
        <f>SUM(E$104:E105)</f>
        <v>0.565270188221008</v>
      </c>
      <c r="G105" s="116">
        <f>pLimitePareto</f>
        <v>0.8</v>
      </c>
      <c r="H105" s="101" t="str">
        <f>IF(F105-E105&lt;G105,"Núcleo","Cauda")</f>
        <v>Núcleo</v>
      </c>
      <c r="I105" s="103">
        <f>IF(H105="Núcleo",D105,0)</f>
        <v>244</v>
      </c>
      <c r="J105" s="103">
        <f>IF(H105="Cauda",D105,0)</f>
        <v>0</v>
      </c>
    </row>
    <row r="106">
      <c r="A106" s="113">
        <f>ROWS(A$104:A106)</f>
        <v>3</v>
      </c>
      <c r="B106" s="111" t="str">
        <f>INDEX($A$54:$A$73,MATCH($A106,$H$54:$H$73,0))</f>
        <v>MAT002</v>
      </c>
      <c r="C106" s="111" t="str">
        <f>INDEX($B$54:$B$73,MATCH($A106,$H$54:$H$73,0))</f>
        <v>Disco Flap 4,5 pol Grão 60</v>
      </c>
      <c r="D106" s="103">
        <f>INDEX($F$54:$F$73,MATCH($A106,$H$54:$H$73,0))</f>
        <v>228</v>
      </c>
      <c r="E106" s="112">
        <f>IF(Indicadores!$B$6=0,0,D106/Indicadores!$B$6)</f>
        <v>0.138433515482696</v>
      </c>
      <c r="F106" s="112">
        <f>SUM(E$104:E106)</f>
        <v>0.703703703703704</v>
      </c>
      <c r="G106" s="116">
        <f>pLimitePareto</f>
        <v>0.8</v>
      </c>
      <c r="H106" s="101" t="str">
        <f>IF(F106-E106&lt;G106,"Núcleo","Cauda")</f>
        <v>Núcleo</v>
      </c>
      <c r="I106" s="103">
        <f>IF(H106="Núcleo",D106,0)</f>
        <v>228</v>
      </c>
      <c r="J106" s="103">
        <f>IF(H106="Cauda",D106,0)</f>
        <v>0</v>
      </c>
    </row>
    <row r="107">
      <c r="A107" s="113">
        <f>ROWS(A$104:A107)</f>
        <v>4</v>
      </c>
      <c r="B107" s="111" t="str">
        <f>INDEX($A$54:$A$73,MATCH($A107,$H$54:$H$73,0))</f>
        <v>MAT001</v>
      </c>
      <c r="C107" s="111" t="str">
        <f>INDEX($B$54:$B$73,MATCH($A107,$H$54:$H$73,0))</f>
        <v>Disco de Desbaste 7 pol</v>
      </c>
      <c r="D107" s="103">
        <f>INDEX($F$54:$F$73,MATCH($A107,$H$54:$H$73,0))</f>
        <v>169</v>
      </c>
      <c r="E107" s="112">
        <f>IF(Indicadores!$B$6=0,0,D107/Indicadores!$B$6)</f>
        <v>0.10261080752884</v>
      </c>
      <c r="F107" s="112">
        <f>SUM(E$104:E107)</f>
        <v>0.806314511232544</v>
      </c>
      <c r="G107" s="116">
        <f>pLimitePareto</f>
        <v>0.8</v>
      </c>
      <c r="H107" s="101" t="str">
        <f>IF(F107-E107&lt;G107,"Núcleo","Cauda")</f>
        <v>Núcleo</v>
      </c>
      <c r="I107" s="103">
        <f>IF(H107="Núcleo",D107,0)</f>
        <v>169</v>
      </c>
      <c r="J107" s="103">
        <f>IF(H107="Cauda",D107,0)</f>
        <v>0</v>
      </c>
    </row>
    <row r="108">
      <c r="A108" s="113">
        <f>ROWS(A$104:A108)</f>
        <v>5</v>
      </c>
      <c r="B108" s="111" t="str">
        <f>INDEX($A$54:$A$73,MATCH($A108,$H$54:$H$73,0))</f>
        <v>MAT015</v>
      </c>
      <c r="C108" s="111" t="str">
        <f>INDEX($B$54:$B$73,MATCH($A108,$H$54:$H$73,0))</f>
        <v>Luva de Raspa</v>
      </c>
      <c r="D108" s="103">
        <f>INDEX($F$54:$F$73,MATCH($A108,$H$54:$H$73,0))</f>
        <v>102</v>
      </c>
      <c r="E108" s="112">
        <f>IF(Indicadores!$B$6=0,0,D108/Indicadores!$B$6)</f>
        <v>0.0619307832422587</v>
      </c>
      <c r="F108" s="112">
        <f>SUM(E$104:E108)</f>
        <v>0.868245294474803</v>
      </c>
      <c r="G108" s="116">
        <f>pLimitePareto</f>
        <v>0.8</v>
      </c>
      <c r="H108" s="101" t="str">
        <f>IF(F108-E108&lt;G108,"Núcleo","Cauda")</f>
        <v>Cauda</v>
      </c>
      <c r="I108" s="103">
        <f>IF(H108="Núcleo",D108,0)</f>
        <v>0</v>
      </c>
      <c r="J108" s="103">
        <f>IF(H108="Cauda",D108,0)</f>
        <v>102</v>
      </c>
    </row>
    <row r="109">
      <c r="A109" s="113">
        <f>ROWS(A$104:A109)</f>
        <v>6</v>
      </c>
      <c r="B109" s="111" t="str">
        <f>INDEX($A$54:$A$73,MATCH($A109,$H$54:$H$73,0))</f>
        <v>MAT016</v>
      </c>
      <c r="C109" s="111" t="str">
        <f>INDEX($B$54:$B$73,MATCH($A109,$H$54:$H$73,0))</f>
        <v>Óculos de Proteção Incolor</v>
      </c>
      <c r="D109" s="103">
        <f>INDEX($F$54:$F$73,MATCH($A109,$H$54:$H$73,0))</f>
        <v>55</v>
      </c>
      <c r="E109" s="112">
        <f>IF(Indicadores!$B$6=0,0,D109/Indicadores!$B$6)</f>
        <v>0.0333940497874924</v>
      </c>
      <c r="F109" s="112">
        <f>SUM(E$104:E109)</f>
        <v>0.901639344262295</v>
      </c>
      <c r="G109" s="116">
        <f>pLimitePareto</f>
        <v>0.8</v>
      </c>
      <c r="H109" s="101" t="str">
        <f>IF(F109-E109&lt;G109,"Núcleo","Cauda")</f>
        <v>Cauda</v>
      </c>
      <c r="I109" s="103">
        <f>IF(H109="Núcleo",D109,0)</f>
        <v>0</v>
      </c>
      <c r="J109" s="103">
        <f>IF(H109="Cauda",D109,0)</f>
        <v>55</v>
      </c>
    </row>
    <row r="110">
      <c r="A110" s="113">
        <f>ROWS(A$104:A110)</f>
        <v>7</v>
      </c>
      <c r="B110" s="111" t="str">
        <f>INDEX($A$54:$A$73,MATCH($A110,$H$54:$H$73,0))</f>
        <v>MAT005</v>
      </c>
      <c r="C110" s="111" t="str">
        <f>INDEX($B$54:$B$73,MATCH($A110,$H$54:$H$73,0))</f>
        <v>Eletrodo Revestido 2,5 mm</v>
      </c>
      <c r="D110" s="103">
        <f>INDEX($F$54:$F$73,MATCH($A110,$H$54:$H$73,0))</f>
        <v>29</v>
      </c>
      <c r="E110" s="112">
        <f>IF(Indicadores!$B$6=0,0,D110/Indicadores!$B$6)</f>
        <v>0.0176077717061324</v>
      </c>
      <c r="F110" s="112">
        <f>SUM(E$104:E110)</f>
        <v>0.919247115968428</v>
      </c>
      <c r="G110" s="116">
        <f>pLimitePareto</f>
        <v>0.8</v>
      </c>
      <c r="H110" s="101" t="str">
        <f>IF(F110-E110&lt;G110,"Núcleo","Cauda")</f>
        <v>Cauda</v>
      </c>
      <c r="I110" s="103">
        <f>IF(H110="Núcleo",D110,0)</f>
        <v>0</v>
      </c>
      <c r="J110" s="103">
        <f>IF(H110="Cauda",D110,0)</f>
        <v>29</v>
      </c>
    </row>
    <row r="111">
      <c r="A111" s="113">
        <f>ROWS(A$104:A111)</f>
        <v>8</v>
      </c>
      <c r="B111" s="111" t="str">
        <f>INDEX($A$54:$A$73,MATCH($A111,$H$54:$H$73,0))</f>
        <v>MAT004</v>
      </c>
      <c r="C111" s="111" t="str">
        <f>INDEX($B$54:$B$73,MATCH($A111,$H$54:$H$73,0))</f>
        <v>Bico de Contato MIG 1,0 mm</v>
      </c>
      <c r="D111" s="103">
        <f>INDEX($F$54:$F$73,MATCH($A111,$H$54:$H$73,0))</f>
        <v>23</v>
      </c>
      <c r="E111" s="112">
        <f>IF(Indicadores!$B$6=0,0,D111/Indicadores!$B$6)</f>
        <v>0.0139647844565877</v>
      </c>
      <c r="F111" s="112">
        <f>SUM(E$104:E111)</f>
        <v>0.933211900425015</v>
      </c>
      <c r="G111" s="116">
        <f>pLimitePareto</f>
        <v>0.8</v>
      </c>
      <c r="H111" s="101" t="str">
        <f>IF(F111-E111&lt;G111,"Núcleo","Cauda")</f>
        <v>Cauda</v>
      </c>
      <c r="I111" s="103">
        <f>IF(H111="Núcleo",D111,0)</f>
        <v>0</v>
      </c>
      <c r="J111" s="103">
        <f>IF(H111="Cauda",D111,0)</f>
        <v>23</v>
      </c>
    </row>
    <row r="112">
      <c r="A112" s="113">
        <f>ROWS(A$104:A112)</f>
        <v>9</v>
      </c>
      <c r="B112" s="111" t="str">
        <f>INDEX($A$54:$A$73,MATCH($A112,$H$54:$H$73,0))</f>
        <v>MAT003</v>
      </c>
      <c r="C112" s="111" t="str">
        <f>INDEX($B$54:$B$73,MATCH($A112,$H$54:$H$73,0))</f>
        <v>Lixa de Ferro Grão 80</v>
      </c>
      <c r="D112" s="103">
        <f>INDEX($F$54:$F$73,MATCH($A112,$H$54:$H$73,0))</f>
        <v>22</v>
      </c>
      <c r="E112" s="112">
        <f>IF(Indicadores!$B$6=0,0,D112/Indicadores!$B$6)</f>
        <v>0.013357619914997</v>
      </c>
      <c r="F112" s="112">
        <f>SUM(E$104:E112)</f>
        <v>0.946569520340012</v>
      </c>
      <c r="G112" s="116">
        <f>pLimitePareto</f>
        <v>0.8</v>
      </c>
      <c r="H112" s="101" t="str">
        <f>IF(F112-E112&lt;G112,"Núcleo","Cauda")</f>
        <v>Cauda</v>
      </c>
      <c r="I112" s="103">
        <f>IF(H112="Núcleo",D112,0)</f>
        <v>0</v>
      </c>
      <c r="J112" s="103">
        <f>IF(H112="Cauda",D112,0)</f>
        <v>22</v>
      </c>
    </row>
    <row r="113">
      <c r="A113" s="113">
        <f>ROWS(A$104:A113)</f>
        <v>10</v>
      </c>
      <c r="B113" s="111" t="str">
        <f>INDEX($A$54:$A$73,MATCH($A113,$H$54:$H$73,0))</f>
        <v>MAT013</v>
      </c>
      <c r="C113" s="111" t="str">
        <f>INDEX($B$54:$B$73,MATCH($A113,$H$54:$H$73,0))</f>
        <v>Terminal de Compressão 6 mm²</v>
      </c>
      <c r="D113" s="103">
        <f>INDEX($F$54:$F$73,MATCH($A113,$H$54:$H$73,0))</f>
        <v>16</v>
      </c>
      <c r="E113" s="112">
        <f>IF(Indicadores!$B$6=0,0,D113/Indicadores!$B$6)</f>
        <v>0.00971463266545234</v>
      </c>
      <c r="F113" s="112">
        <f>SUM(E$104:E113)</f>
        <v>0.956284153005465</v>
      </c>
      <c r="G113" s="116">
        <f>pLimitePareto</f>
        <v>0.8</v>
      </c>
      <c r="H113" s="101" t="str">
        <f>IF(F113-E113&lt;G113,"Núcleo","Cauda")</f>
        <v>Cauda</v>
      </c>
      <c r="I113" s="103">
        <f>IF(H113="Núcleo",D113,0)</f>
        <v>0</v>
      </c>
      <c r="J113" s="103">
        <f>IF(H113="Cauda",D113,0)</f>
        <v>16</v>
      </c>
    </row>
    <row r="114">
      <c r="A114" s="113">
        <f>ROWS(A$104:A114)</f>
        <v>11</v>
      </c>
      <c r="B114" s="111" t="str">
        <f>INDEX($A$54:$A$73,MATCH($A114,$H$54:$H$73,0))</f>
        <v>MAT017</v>
      </c>
      <c r="C114" s="111" t="str">
        <f>INDEX($B$54:$B$73,MATCH($A114,$H$54:$H$73,0))</f>
        <v>Máscara Respiratória PFF2</v>
      </c>
      <c r="D114" s="103">
        <f>INDEX($F$54:$F$73,MATCH($A114,$H$54:$H$73,0))</f>
        <v>12</v>
      </c>
      <c r="E114" s="112">
        <f>IF(Indicadores!$B$6=0,0,D114/Indicadores!$B$6)</f>
        <v>0.00728597449908925</v>
      </c>
      <c r="F114" s="112">
        <f>SUM(E$104:E114)</f>
        <v>0.963570127504554</v>
      </c>
      <c r="G114" s="116">
        <f>pLimitePareto</f>
        <v>0.8</v>
      </c>
      <c r="H114" s="101" t="str">
        <f>IF(F114-E114&lt;G114,"Núcleo","Cauda")</f>
        <v>Cauda</v>
      </c>
      <c r="I114" s="103">
        <f>IF(H114="Núcleo",D114,0)</f>
        <v>0</v>
      </c>
      <c r="J114" s="103">
        <f>IF(H114="Cauda",D114,0)</f>
        <v>12</v>
      </c>
    </row>
    <row r="115">
      <c r="A115" s="113">
        <f>ROWS(A$104:A115)</f>
        <v>12</v>
      </c>
      <c r="B115" s="111" t="str">
        <f>INDEX($A$54:$A$73,MATCH($A115,$H$54:$H$73,0))</f>
        <v>MAT011</v>
      </c>
      <c r="C115" s="111" t="str">
        <f>INDEX($B$54:$B$73,MATCH($A115,$H$54:$H$73,0))</f>
        <v>Cabo Flexível 2,5 mm² Rolo</v>
      </c>
      <c r="D115" s="103">
        <f>INDEX($F$54:$F$73,MATCH($A115,$H$54:$H$73,0))</f>
        <v>11</v>
      </c>
      <c r="E115" s="112">
        <f>IF(Indicadores!$B$6=0,0,D115/Indicadores!$B$6)</f>
        <v>0.00667880995749848</v>
      </c>
      <c r="F115" s="112">
        <f>SUM(E$104:E115)</f>
        <v>0.970248937462052</v>
      </c>
      <c r="G115" s="116">
        <f>pLimitePareto</f>
        <v>0.8</v>
      </c>
      <c r="H115" s="101" t="str">
        <f>IF(F115-E115&lt;G115,"Núcleo","Cauda")</f>
        <v>Cauda</v>
      </c>
      <c r="I115" s="103">
        <f>IF(H115="Núcleo",D115,0)</f>
        <v>0</v>
      </c>
      <c r="J115" s="103">
        <f>IF(H115="Cauda",D115,0)</f>
        <v>11</v>
      </c>
    </row>
    <row r="116">
      <c r="A116" s="113">
        <f>ROWS(A$104:A116)</f>
        <v>13</v>
      </c>
      <c r="B116" s="111" t="str">
        <f>INDEX($A$54:$A$73,MATCH($A116,$H$54:$H$73,0))</f>
        <v>MAT012</v>
      </c>
      <c r="C116" s="111" t="str">
        <f>INDEX($B$54:$B$73,MATCH($A116,$H$54:$H$73,0))</f>
        <v>Fita Isolante 19 mm</v>
      </c>
      <c r="D116" s="103">
        <f>INDEX($F$54:$F$73,MATCH($A116,$H$54:$H$73,0))</f>
        <v>11</v>
      </c>
      <c r="E116" s="112">
        <f>IF(Indicadores!$B$6=0,0,D116/Indicadores!$B$6)</f>
        <v>0.00667880995749848</v>
      </c>
      <c r="F116" s="112">
        <f>SUM(E$104:E116)</f>
        <v>0.976927747419551</v>
      </c>
      <c r="G116" s="116">
        <f>pLimitePareto</f>
        <v>0.8</v>
      </c>
      <c r="H116" s="101" t="str">
        <f>IF(F116-E116&lt;G116,"Núcleo","Cauda")</f>
        <v>Cauda</v>
      </c>
      <c r="I116" s="103">
        <f>IF(H116="Núcleo",D116,0)</f>
        <v>0</v>
      </c>
      <c r="J116" s="103">
        <f>IF(H116="Cauda",D116,0)</f>
        <v>11</v>
      </c>
    </row>
    <row r="117">
      <c r="A117" s="113">
        <f>ROWS(A$104:A117)</f>
        <v>14</v>
      </c>
      <c r="B117" s="111" t="str">
        <f>INDEX($A$54:$A$73,MATCH($A117,$H$54:$H$73,0))</f>
        <v>MAT020</v>
      </c>
      <c r="C117" s="111" t="str">
        <f>INDEX($B$54:$B$73,MATCH($A117,$H$54:$H$73,0))</f>
        <v>Broca de Aço Rápido 10 mm</v>
      </c>
      <c r="D117" s="103">
        <f>INDEX($F$54:$F$73,MATCH($A117,$H$54:$H$73,0))</f>
        <v>11</v>
      </c>
      <c r="E117" s="112">
        <f>IF(Indicadores!$B$6=0,0,D117/Indicadores!$B$6)</f>
        <v>0.00667880995749848</v>
      </c>
      <c r="F117" s="112">
        <f>SUM(E$104:E117)</f>
        <v>0.983606557377049</v>
      </c>
      <c r="G117" s="116">
        <f>pLimitePareto</f>
        <v>0.8</v>
      </c>
      <c r="H117" s="101" t="str">
        <f>IF(F117-E117&lt;G117,"Núcleo","Cauda")</f>
        <v>Cauda</v>
      </c>
      <c r="I117" s="103">
        <f>IF(H117="Núcleo",D117,0)</f>
        <v>0</v>
      </c>
      <c r="J117" s="103">
        <f>IF(H117="Cauda",D117,0)</f>
        <v>11</v>
      </c>
    </row>
    <row r="118">
      <c r="A118" s="113">
        <f>ROWS(A$104:A118)</f>
        <v>15</v>
      </c>
      <c r="B118" s="111" t="str">
        <f>INDEX($A$54:$A$73,MATCH($A118,$H$54:$H$73,0))</f>
        <v>MAT014</v>
      </c>
      <c r="C118" s="111" t="str">
        <f>INDEX($B$54:$B$73,MATCH($A118,$H$54:$H$73,0))</f>
        <v>Disjuntor Tripolar 32 A</v>
      </c>
      <c r="D118" s="103">
        <f>INDEX($F$54:$F$73,MATCH($A118,$H$54:$H$73,0))</f>
        <v>7</v>
      </c>
      <c r="E118" s="112">
        <f>IF(Indicadores!$B$6=0,0,D118/Indicadores!$B$6)</f>
        <v>0.0042501517911354</v>
      </c>
      <c r="F118" s="112">
        <f>SUM(E$104:E118)</f>
        <v>0.987856709168185</v>
      </c>
      <c r="G118" s="116">
        <f>pLimitePareto</f>
        <v>0.8</v>
      </c>
      <c r="H118" s="101" t="str">
        <f>IF(F118-E118&lt;G118,"Núcleo","Cauda")</f>
        <v>Cauda</v>
      </c>
      <c r="I118" s="103">
        <f>IF(H118="Núcleo",D118,0)</f>
        <v>0</v>
      </c>
      <c r="J118" s="103">
        <f>IF(H118="Cauda",D118,0)</f>
        <v>7</v>
      </c>
    </row>
    <row r="119">
      <c r="A119" s="113">
        <f>ROWS(A$104:A119)</f>
        <v>16</v>
      </c>
      <c r="B119" s="111" t="str">
        <f>INDEX($A$54:$A$73,MATCH($A119,$H$54:$H$73,0))</f>
        <v>MAT009</v>
      </c>
      <c r="C119" s="111" t="str">
        <f>INDEX($B$54:$B$73,MATCH($A119,$H$54:$H$73,0))</f>
        <v>Serra Copo 51 mm</v>
      </c>
      <c r="D119" s="103">
        <f>INDEX($F$54:$F$73,MATCH($A119,$H$54:$H$73,0))</f>
        <v>6</v>
      </c>
      <c r="E119" s="112">
        <f>IF(Indicadores!$B$6=0,0,D119/Indicadores!$B$6)</f>
        <v>0.00364298724954463</v>
      </c>
      <c r="F119" s="112">
        <f>SUM(E$104:E119)</f>
        <v>0.991499696417729</v>
      </c>
      <c r="G119" s="116">
        <f>pLimitePareto</f>
        <v>0.8</v>
      </c>
      <c r="H119" s="101" t="str">
        <f>IF(F119-E119&lt;G119,"Núcleo","Cauda")</f>
        <v>Cauda</v>
      </c>
      <c r="I119" s="103">
        <f>IF(H119="Núcleo",D119,0)</f>
        <v>0</v>
      </c>
      <c r="J119" s="103">
        <f>IF(H119="Cauda",D119,0)</f>
        <v>6</v>
      </c>
    </row>
    <row r="120">
      <c r="A120" s="113">
        <f>ROWS(A$104:A120)</f>
        <v>17</v>
      </c>
      <c r="B120" s="111" t="str">
        <f>INDEX($A$54:$A$73,MATCH($A120,$H$54:$H$73,0))</f>
        <v>MAT006</v>
      </c>
      <c r="C120" s="111" t="str">
        <f>INDEX($B$54:$B$73,MATCH($A120,$H$54:$H$73,0))</f>
        <v>Arame MIG 1,0 mm Bobina</v>
      </c>
      <c r="D120" s="103">
        <f>INDEX($F$54:$F$73,MATCH($A120,$H$54:$H$73,0))</f>
        <v>5</v>
      </c>
      <c r="E120" s="112">
        <f>IF(Indicadores!$B$6=0,0,D120/Indicadores!$B$6)</f>
        <v>0.00303582270795386</v>
      </c>
      <c r="F120" s="112">
        <f>SUM(E$104:E120)</f>
        <v>0.994535519125683</v>
      </c>
      <c r="G120" s="116">
        <f>pLimitePareto</f>
        <v>0.8</v>
      </c>
      <c r="H120" s="101" t="str">
        <f>IF(F120-E120&lt;G120,"Núcleo","Cauda")</f>
        <v>Cauda</v>
      </c>
      <c r="I120" s="103">
        <f>IF(H120="Núcleo",D120,0)</f>
        <v>0</v>
      </c>
      <c r="J120" s="103">
        <f>IF(H120="Cauda",D120,0)</f>
        <v>5</v>
      </c>
    </row>
    <row r="121">
      <c r="A121" s="113">
        <f>ROWS(A$104:A121)</f>
        <v>18</v>
      </c>
      <c r="B121" s="111" t="str">
        <f>INDEX($A$54:$A$73,MATCH($A121,$H$54:$H$73,0))</f>
        <v>MAT018</v>
      </c>
      <c r="C121" s="111" t="str">
        <f>INDEX($B$54:$B$73,MATCH($A121,$H$54:$H$73,0))</f>
        <v>Chave Combinada 17 mm</v>
      </c>
      <c r="D121" s="103">
        <f>INDEX($F$54:$F$73,MATCH($A121,$H$54:$H$73,0))</f>
        <v>5</v>
      </c>
      <c r="E121" s="112">
        <f>IF(Indicadores!$B$6=0,0,D121/Indicadores!$B$6)</f>
        <v>0.00303582270795386</v>
      </c>
      <c r="F121" s="112">
        <f>SUM(E$104:E121)</f>
        <v>0.997571341833637</v>
      </c>
      <c r="G121" s="116">
        <f>pLimitePareto</f>
        <v>0.8</v>
      </c>
      <c r="H121" s="101" t="str">
        <f>IF(F121-E121&lt;G121,"Núcleo","Cauda")</f>
        <v>Cauda</v>
      </c>
      <c r="I121" s="103">
        <f>IF(H121="Núcleo",D121,0)</f>
        <v>0</v>
      </c>
      <c r="J121" s="103">
        <f>IF(H121="Cauda",D121,0)</f>
        <v>5</v>
      </c>
    </row>
    <row r="122">
      <c r="A122" s="113">
        <f>ROWS(A$104:A122)</f>
        <v>19</v>
      </c>
      <c r="B122" s="111" t="str">
        <f>INDEX($A$54:$A$73,MATCH($A122,$H$54:$H$73,0))</f>
        <v>MAT010</v>
      </c>
      <c r="C122" s="111" t="str">
        <f>INDEX($B$54:$B$73,MATCH($A122,$H$54:$H$73,0))</f>
        <v>Lâmina de Serra Sabre</v>
      </c>
      <c r="D122" s="103">
        <f>INDEX($F$54:$F$73,MATCH($A122,$H$54:$H$73,0))</f>
        <v>3</v>
      </c>
      <c r="E122" s="112">
        <f>IF(Indicadores!$B$6=0,0,D122/Indicadores!$B$6)</f>
        <v>0.00182149362477231</v>
      </c>
      <c r="F122" s="112">
        <f>SUM(E$104:E122)</f>
        <v>0.999392835458409</v>
      </c>
      <c r="G122" s="116">
        <f>pLimitePareto</f>
        <v>0.8</v>
      </c>
      <c r="H122" s="101" t="str">
        <f>IF(F122-E122&lt;G122,"Núcleo","Cauda")</f>
        <v>Cauda</v>
      </c>
      <c r="I122" s="103">
        <f>IF(H122="Núcleo",D122,0)</f>
        <v>0</v>
      </c>
      <c r="J122" s="103">
        <f>IF(H122="Cauda",D122,0)</f>
        <v>3</v>
      </c>
    </row>
    <row r="123">
      <c r="A123" s="113">
        <f>ROWS(A$104:A123)</f>
        <v>20</v>
      </c>
      <c r="B123" s="111" t="str">
        <f>INDEX($A$54:$A$73,MATCH($A123,$H$54:$H$73,0))</f>
        <v>MAT019</v>
      </c>
      <c r="C123" s="111" t="str">
        <f>INDEX($B$54:$B$73,MATCH($A123,$H$54:$H$73,0))</f>
        <v>Trena de Aço 5 m</v>
      </c>
      <c r="D123" s="103">
        <f>INDEX($F$54:$F$73,MATCH($A123,$H$54:$H$73,0))</f>
        <v>1</v>
      </c>
      <c r="E123" s="112">
        <f>IF(Indicadores!$B$6=0,0,D123/Indicadores!$B$6)</f>
        <v>0.000607164541590771</v>
      </c>
      <c r="F123" s="112">
        <f>SUM(E$104:E123)</f>
        <v>1</v>
      </c>
      <c r="G123" s="116">
        <f>pLimitePareto</f>
        <v>0.8</v>
      </c>
      <c r="H123" s="101" t="str">
        <f>IF(F123-E123&lt;G123,"Núcleo","Cauda")</f>
        <v>Cauda</v>
      </c>
      <c r="I123" s="103">
        <f>IF(H123="Núcleo",D123,0)</f>
        <v>0</v>
      </c>
      <c r="J123" s="103">
        <f>IF(H123="Cauda",D123,0)</f>
        <v>1</v>
      </c>
    </row>
    <row r="124">
      <c r="A124" s="107" t="inlineStr">
        <is>
          <t>Total</t>
        </is>
      </c>
      <c r="D124" s="109">
        <f>SUM(D104:D123)</f>
        <v>1647</v>
      </c>
      <c r="E124" s="114">
        <f>SUM(E104:E123)</f>
        <v>1</v>
      </c>
    </row>
    <row r="127">
      <c r="A127" s="17" t="inlineStr">
        <is>
          <t>6. Concentração (números do Pareto; sem juízo de valor)</t>
        </is>
      </c>
    </row>
    <row r="128" ht="30" customHeight="1">
      <c r="A128" s="100" t="inlineStr">
        <is>
          <t>Indicador</t>
        </is>
      </c>
      <c r="B128" s="100" t="inlineStr">
        <is>
          <t>Valor</t>
        </is>
      </c>
      <c r="C128" s="100" t="inlineStr">
        <is>
          <t>Detalhe</t>
        </is>
      </c>
      <c r="D128" s="100" t="inlineStr">
        <is>
          <t>Base de cálculo</t>
        </is>
      </c>
    </row>
    <row r="129">
      <c r="A129" s="111" t="str">
        <f>"Materiais que somam "&amp;ROUND(pLimitePareto*100,0)&amp;"% do custo"</f>
        <v>Materiais que somam 80% do custo</v>
      </c>
      <c r="B129" s="117">
        <f>MIN(COUNTIF(D79:D98,"&gt;0"),COUNTIF(F79:F98,"&lt;"&amp;pLimitePareto)+1)</f>
        <v>9</v>
      </c>
      <c r="C129" s="111" t="n"/>
      <c r="D129" s="111" t="inlineStr">
        <is>
          <t>Menor nº de materiais cujo % acumulado de custo atinge o limite (Pareto 5a).</t>
        </is>
      </c>
    </row>
    <row r="130">
      <c r="A130" s="111" t="inlineStr">
        <is>
          <t>… em % dos materiais movimentados</t>
        </is>
      </c>
      <c r="B130" s="114">
        <f>IF(Indicadores!$B$9=0,0,B129/Indicadores!$B$9)</f>
        <v>0.45</v>
      </c>
      <c r="C130" s="111" t="n"/>
      <c r="D130" s="111" t="inlineStr">
        <is>
          <t>Linha anterior ÷ KPI 'Materiais distintos movimentados'.</t>
        </is>
      </c>
    </row>
    <row r="131">
      <c r="A131" s="111" t="str">
        <f>"Custo: participação dos "&amp;pTopA&amp;" maiores materiais"</f>
        <v>Custo: participação dos 3 maiores materiais</v>
      </c>
      <c r="B131" s="114">
        <f>INDEX(F79:F98,pTopA)</f>
        <v>0.416086189659517</v>
      </c>
      <c r="C131" s="111" t="str">
        <f>C79</f>
        <v>Disco de Corte 4,5 pol</v>
      </c>
      <c r="D131" s="111" t="inlineStr">
        <is>
          <t>% acumulado do custo na posição pTopA (aba Parametros).</t>
        </is>
      </c>
    </row>
    <row r="132">
      <c r="A132" s="111" t="str">
        <f>"Custo: participação dos "&amp;pTopB&amp;" maiores materiais"</f>
        <v>Custo: participação dos 5 maiores materiais</v>
      </c>
      <c r="B132" s="114">
        <f>INDEX(F79:F98,pTopB)</f>
        <v>0.597796490315449</v>
      </c>
      <c r="C132" s="111" t="n"/>
      <c r="D132" s="111" t="inlineStr">
        <is>
          <t>% acumulado do custo na posição pTopB (aba Parametros).</t>
        </is>
      </c>
    </row>
    <row r="133">
      <c r="A133" s="111" t="str">
        <f>"Materiais que somam "&amp;ROUND(pLimitePareto*100,0)&amp;"% das unidades"</f>
        <v>Materiais que somam 80% das unidades</v>
      </c>
      <c r="B133" s="117">
        <f>MIN(COUNTIF(D104:D123,"&gt;0"),COUNTIF(F104:F123,"&lt;"&amp;pLimitePareto)+1)</f>
        <v>4</v>
      </c>
      <c r="C133" s="111" t="n"/>
      <c r="D133" s="111" t="inlineStr">
        <is>
          <t>Menor nº de materiais cujo % acumulado de unidades atinge o limite (Pareto 5b).</t>
        </is>
      </c>
    </row>
    <row r="134">
      <c r="A134" s="111" t="inlineStr">
        <is>
          <t>… em % dos materiais movimentados</t>
        </is>
      </c>
      <c r="B134" s="114">
        <f>IF(Indicadores!$B$9=0,0,B133/Indicadores!$B$9)</f>
        <v>0.2</v>
      </c>
      <c r="C134" s="111" t="n"/>
      <c r="D134" s="111" t="inlineStr">
        <is>
          <t>Linha anterior ÷ KPI 'Materiais distintos movimentados'.</t>
        </is>
      </c>
    </row>
    <row r="135">
      <c r="A135" s="111" t="str">
        <f>"Unidades: participação dos "&amp;pTopA&amp;" maiores materiais"</f>
        <v>Unidades: participação dos 3 maiores materiais</v>
      </c>
      <c r="B135" s="114">
        <f>INDEX(F104:F123,pTopA)</f>
        <v>0.703703703703704</v>
      </c>
      <c r="C135" s="111" t="str">
        <f>C104</f>
        <v>Disco de Corte 4,5 pol</v>
      </c>
      <c r="D135" s="111" t="inlineStr">
        <is>
          <t>% acumulado das unidades na posição pTopA.</t>
        </is>
      </c>
    </row>
    <row r="136">
      <c r="A136" s="111" t="str">
        <f>"Unidades: participação dos "&amp;pTopB&amp;" maiores materiais"</f>
        <v>Unidades: participação dos 5 maiores materiais</v>
      </c>
      <c r="B136" s="114">
        <f>INDEX(F104:F123,pTopB)</f>
        <v>0.868245294474803</v>
      </c>
      <c r="C136" s="111" t="n"/>
      <c r="D136" s="111" t="inlineStr">
        <is>
          <t>% acumulado das unidades na posição pTopB.</t>
        </is>
      </c>
    </row>
    <row r="137">
      <c r="A137" s="111" t="inlineStr">
        <is>
          <t>Maior categoria em custo</t>
        </is>
      </c>
      <c r="B137" s="114">
        <f>I26</f>
        <v>0.307455031658688</v>
      </c>
      <c r="C137" s="111" t="str">
        <f>G26</f>
        <v>Corte</v>
      </c>
      <c r="D137" s="111" t="inlineStr">
        <is>
          <t>Primeira linha da tabela de categorias ordenada por custo (detalhe = nome).</t>
        </is>
      </c>
    </row>
    <row r="138">
      <c r="A138" s="111" t="inlineStr">
        <is>
          <t>Maior categoria em unidades</t>
        </is>
      </c>
      <c r="B138" s="114">
        <f>D26</f>
        <v>0.570734669095325</v>
      </c>
      <c r="C138" s="111" t="str">
        <f>B26</f>
        <v>Corte</v>
      </c>
      <c r="D138" s="111" t="inlineStr">
        <is>
          <t>Primeira linha da tabela de categorias ordenada por unidades.</t>
        </is>
      </c>
    </row>
    <row r="139">
      <c r="A139" s="111" t="inlineStr">
        <is>
          <t>Maior centro de trabalho em custo</t>
        </is>
      </c>
      <c r="B139" s="114">
        <f>I45</f>
        <v>0.260186457071795</v>
      </c>
      <c r="C139" s="111" t="str">
        <f>G45</f>
        <v>MANUTENCAO</v>
      </c>
      <c r="D139" s="111" t="inlineStr">
        <is>
          <t>Primeira linha da tabela de centros ordenada por custo.</t>
        </is>
      </c>
    </row>
    <row r="140">
      <c r="A140" s="111" t="inlineStr">
        <is>
          <t>Maior centro de trabalho em unidades</t>
        </is>
      </c>
      <c r="B140" s="114">
        <f>D45</f>
        <v>0.256830601092896</v>
      </c>
      <c r="C140" s="111" t="str">
        <f>B45</f>
        <v>MECANICA</v>
      </c>
      <c r="D140" s="111" t="inlineStr">
        <is>
          <t>Primeira linha da tabela de centros ordenada por unidades.</t>
        </is>
      </c>
    </row>
    <row r="143">
      <c r="A143" s="17" t="inlineStr">
        <is>
          <t>7a. Estoque – base de prioridade (lê tbEstoque; Status_Estoque e Critico_Em_Risco vêm das colunas calculadas da V0.1.1)</t>
        </is>
      </c>
    </row>
    <row r="144" ht="30" customHeight="1">
      <c r="A144" s="100" t="inlineStr">
        <is>
          <t>#</t>
        </is>
      </c>
      <c r="B144" s="100" t="inlineStr">
        <is>
          <t>Material_ID</t>
        </is>
      </c>
      <c r="C144" s="100" t="inlineStr">
        <is>
          <t>Material</t>
        </is>
      </c>
      <c r="D144" s="100" t="inlineStr">
        <is>
          <t>Categoria</t>
        </is>
      </c>
      <c r="E144" s="100" t="inlineStr">
        <is>
          <t>Criticidade</t>
        </is>
      </c>
      <c r="F144" s="100" t="inlineStr">
        <is>
          <t>Estoque_Atual</t>
        </is>
      </c>
      <c r="G144" s="100" t="inlineStr">
        <is>
          <t>Estoque_Minimo</t>
        </is>
      </c>
      <c r="H144" s="100" t="inlineStr">
        <is>
          <t>Status_Estoque</t>
        </is>
      </c>
      <c r="I144" s="100" t="inlineStr">
        <is>
          <t>Critico_Em_Risco</t>
        </is>
      </c>
      <c r="J144" s="100" t="inlineStr">
        <is>
          <t>Atual / Mínimo</t>
        </is>
      </c>
      <c r="K144" s="100" t="inlineStr">
        <is>
          <t>Chave de prioridade</t>
        </is>
      </c>
      <c r="L144" s="100" t="inlineStr">
        <is>
          <t>Posição na fila</t>
        </is>
      </c>
    </row>
    <row r="145">
      <c r="A145" s="113">
        <f>ROWS(A$145:A145)</f>
        <v>1</v>
      </c>
      <c r="B145" s="111" t="str">
        <f>INDEX(tbEstoque[Material_ID],$A145)</f>
        <v>MAT001</v>
      </c>
      <c r="C145" s="111" t="str">
        <f>INDEX(tbEstoque[Material],$A145)</f>
        <v>Disco de Desbaste 7 pol</v>
      </c>
      <c r="D145" s="111" t="str">
        <f>INDEX(tbEstoque[Categoria],$A145)</f>
        <v>Abrasivos</v>
      </c>
      <c r="E145" s="101" t="str">
        <f>INDEX(tbEstoque[Criticidade],$A145)</f>
        <v>Média</v>
      </c>
      <c r="F145" s="103">
        <f>INDEX(tbEstoque[Estoque_Atual],$A145)</f>
        <v>120</v>
      </c>
      <c r="G145" s="103">
        <f>INDEX(tbEstoque[Estoque_Minimo],$A145)</f>
        <v>40</v>
      </c>
      <c r="H145" s="101" t="str">
        <f>INDEX(tbEstoque[Status_Estoque],$A145)</f>
        <v>OK</v>
      </c>
      <c r="I145" s="101" t="str">
        <f>INDEX(tbEstoque[Critico_Em_Risco],$A145)</f>
        <v>Não</v>
      </c>
      <c r="J145" s="118">
        <f>IF(G145=0,"",F145/G145)</f>
        <v>3</v>
      </c>
      <c r="K145" s="119">
        <f>IF(H145="REPOR",1,IF(H145="ATENÇÃO",2,3))*1000000+IF(E145="Alta",1,IF(E145="Média",2,3))*10000+MIN(9999,ROUND(IF(G145=0,9.999,F145/G145)*1000,0))</f>
        <v>3023000</v>
      </c>
      <c r="L145" s="113">
        <f>RANK(K145,K$145:K$164,1)+COUNTIF(K$145:K145,K145)-1</f>
        <v>15</v>
      </c>
    </row>
    <row r="146">
      <c r="A146" s="113">
        <f>ROWS(A$145:A146)</f>
        <v>2</v>
      </c>
      <c r="B146" s="111" t="str">
        <f>INDEX(tbEstoque[Material_ID],$A146)</f>
        <v>MAT002</v>
      </c>
      <c r="C146" s="111" t="str">
        <f>INDEX(tbEstoque[Material],$A146)</f>
        <v>Disco Flap 4,5 pol Grão 60</v>
      </c>
      <c r="D146" s="111" t="str">
        <f>INDEX(tbEstoque[Categoria],$A146)</f>
        <v>Abrasivos</v>
      </c>
      <c r="E146" s="101" t="str">
        <f>INDEX(tbEstoque[Criticidade],$A146)</f>
        <v>Baixa</v>
      </c>
      <c r="F146" s="103">
        <f>INDEX(tbEstoque[Estoque_Atual],$A146)</f>
        <v>30</v>
      </c>
      <c r="G146" s="103">
        <f>INDEX(tbEstoque[Estoque_Minimo],$A146)</f>
        <v>30</v>
      </c>
      <c r="H146" s="101" t="str">
        <f>INDEX(tbEstoque[Status_Estoque],$A146)</f>
        <v>REPOR</v>
      </c>
      <c r="I146" s="101" t="str">
        <f>INDEX(tbEstoque[Critico_Em_Risco],$A146)</f>
        <v>Não</v>
      </c>
      <c r="J146" s="118">
        <f>IF(G146=0,"",F146/G146)</f>
        <v>1</v>
      </c>
      <c r="K146" s="119">
        <f>IF(H146="REPOR",1,IF(H146="ATENÇÃO",2,3))*1000000+IF(E146="Alta",1,IF(E146="Média",2,3))*10000+MIN(9999,ROUND(IF(G146=0,9.999,F146/G146)*1000,0))</f>
        <v>1031000</v>
      </c>
      <c r="L146" s="113">
        <f>RANK(K146,K$145:K$164,1)+COUNTIF(K$145:K146,K146)-1</f>
        <v>5</v>
      </c>
    </row>
    <row r="147">
      <c r="A147" s="113">
        <f>ROWS(A$145:A147)</f>
        <v>3</v>
      </c>
      <c r="B147" s="111" t="str">
        <f>INDEX(tbEstoque[Material_ID],$A147)</f>
        <v>MAT003</v>
      </c>
      <c r="C147" s="111" t="str">
        <f>INDEX(tbEstoque[Material],$A147)</f>
        <v>Lixa de Ferro Grão 80</v>
      </c>
      <c r="D147" s="111" t="str">
        <f>INDEX(tbEstoque[Categoria],$A147)</f>
        <v>Abrasivos</v>
      </c>
      <c r="E147" s="101" t="str">
        <f>INDEX(tbEstoque[Criticidade],$A147)</f>
        <v>Baixa</v>
      </c>
      <c r="F147" s="103">
        <f>INDEX(tbEstoque[Estoque_Atual],$A147)</f>
        <v>34</v>
      </c>
      <c r="G147" s="103">
        <f>INDEX(tbEstoque[Estoque_Minimo],$A147)</f>
        <v>10</v>
      </c>
      <c r="H147" s="101" t="str">
        <f>INDEX(tbEstoque[Status_Estoque],$A147)</f>
        <v>OK</v>
      </c>
      <c r="I147" s="101" t="str">
        <f>INDEX(tbEstoque[Critico_Em_Risco],$A147)</f>
        <v>Não</v>
      </c>
      <c r="J147" s="118">
        <f>IF(G147=0,"",F147/G147)</f>
        <v>3.4</v>
      </c>
      <c r="K147" s="119">
        <f>IF(H147="REPOR",1,IF(H147="ATENÇÃO",2,3))*1000000+IF(E147="Alta",1,IF(E147="Média",2,3))*10000+MIN(9999,ROUND(IF(G147=0,9.999,F147/G147)*1000,0))</f>
        <v>3033400</v>
      </c>
      <c r="L147" s="113">
        <f>RANK(K147,K$145:K$164,1)+COUNTIF(K$145:K147,K147)-1</f>
        <v>20</v>
      </c>
    </row>
    <row r="148">
      <c r="A148" s="113">
        <f>ROWS(A$145:A148)</f>
        <v>4</v>
      </c>
      <c r="B148" s="111" t="str">
        <f>INDEX(tbEstoque[Material_ID],$A148)</f>
        <v>MAT004</v>
      </c>
      <c r="C148" s="111" t="str">
        <f>INDEX(tbEstoque[Material],$A148)</f>
        <v>Bico de Contato MIG 1,0 mm</v>
      </c>
      <c r="D148" s="111" t="str">
        <f>INDEX(tbEstoque[Categoria],$A148)</f>
        <v>Soldagem</v>
      </c>
      <c r="E148" s="101" t="str">
        <f>INDEX(tbEstoque[Criticidade],$A148)</f>
        <v>Média</v>
      </c>
      <c r="F148" s="103">
        <f>INDEX(tbEstoque[Estoque_Atual],$A148)</f>
        <v>9</v>
      </c>
      <c r="G148" s="103">
        <f>INDEX(tbEstoque[Estoque_Minimo],$A148)</f>
        <v>8</v>
      </c>
      <c r="H148" s="101" t="str">
        <f>INDEX(tbEstoque[Status_Estoque],$A148)</f>
        <v>ATENÇÃO</v>
      </c>
      <c r="I148" s="101" t="str">
        <f>INDEX(tbEstoque[Critico_Em_Risco],$A148)</f>
        <v>Não</v>
      </c>
      <c r="J148" s="118">
        <f>IF(G148=0,"",F148/G148)</f>
        <v>1.125</v>
      </c>
      <c r="K148" s="119">
        <f>IF(H148="REPOR",1,IF(H148="ATENÇÃO",2,3))*1000000+IF(E148="Alta",1,IF(E148="Média",2,3))*10000+MIN(9999,ROUND(IF(G148=0,9.999,F148/G148)*1000,0))</f>
        <v>2021125</v>
      </c>
      <c r="L148" s="113">
        <f>RANK(K148,K$145:K$164,1)+COUNTIF(K$145:K148,K148)-1</f>
        <v>8</v>
      </c>
    </row>
    <row r="149">
      <c r="A149" s="113">
        <f>ROWS(A$145:A149)</f>
        <v>5</v>
      </c>
      <c r="B149" s="111" t="str">
        <f>INDEX(tbEstoque[Material_ID],$A149)</f>
        <v>MAT005</v>
      </c>
      <c r="C149" s="111" t="str">
        <f>INDEX(tbEstoque[Material],$A149)</f>
        <v>Eletrodo Revestido 2,5 mm</v>
      </c>
      <c r="D149" s="111" t="str">
        <f>INDEX(tbEstoque[Categoria],$A149)</f>
        <v>Soldagem</v>
      </c>
      <c r="E149" s="101" t="str">
        <f>INDEX(tbEstoque[Criticidade],$A149)</f>
        <v>Alta</v>
      </c>
      <c r="F149" s="103">
        <f>INDEX(tbEstoque[Estoque_Atual],$A149)</f>
        <v>7</v>
      </c>
      <c r="G149" s="103">
        <f>INDEX(tbEstoque[Estoque_Minimo],$A149)</f>
        <v>12</v>
      </c>
      <c r="H149" s="101" t="str">
        <f>INDEX(tbEstoque[Status_Estoque],$A149)</f>
        <v>REPOR</v>
      </c>
      <c r="I149" s="101" t="str">
        <f>INDEX(tbEstoque[Critico_Em_Risco],$A149)</f>
        <v>Sim</v>
      </c>
      <c r="J149" s="118">
        <f>IF(G149=0,"",F149/G149)</f>
        <v>0.583333333333333</v>
      </c>
      <c r="K149" s="119">
        <f>IF(H149="REPOR",1,IF(H149="ATENÇÃO",2,3))*1000000+IF(E149="Alta",1,IF(E149="Média",2,3))*10000+MIN(9999,ROUND(IF(G149=0,9.999,F149/G149)*1000,0))</f>
        <v>1010583</v>
      </c>
      <c r="L149" s="113">
        <f>RANK(K149,K$145:K$164,1)+COUNTIF(K$145:K149,K149)-1</f>
        <v>1</v>
      </c>
    </row>
    <row r="150">
      <c r="A150" s="113">
        <f>ROWS(A$145:A150)</f>
        <v>6</v>
      </c>
      <c r="B150" s="111" t="str">
        <f>INDEX(tbEstoque[Material_ID],$A150)</f>
        <v>MAT006</v>
      </c>
      <c r="C150" s="111" t="str">
        <f>INDEX(tbEstoque[Material],$A150)</f>
        <v>Arame MIG 1,0 mm Bobina</v>
      </c>
      <c r="D150" s="111" t="str">
        <f>INDEX(tbEstoque[Categoria],$A150)</f>
        <v>Soldagem</v>
      </c>
      <c r="E150" s="101" t="str">
        <f>INDEX(tbEstoque[Criticidade],$A150)</f>
        <v>Alta</v>
      </c>
      <c r="F150" s="103">
        <f>INDEX(tbEstoque[Estoque_Atual],$A150)</f>
        <v>14</v>
      </c>
      <c r="G150" s="103">
        <f>INDEX(tbEstoque[Estoque_Minimo],$A150)</f>
        <v>6</v>
      </c>
      <c r="H150" s="101" t="str">
        <f>INDEX(tbEstoque[Status_Estoque],$A150)</f>
        <v>OK</v>
      </c>
      <c r="I150" s="101" t="str">
        <f>INDEX(tbEstoque[Critico_Em_Risco],$A150)</f>
        <v>Não</v>
      </c>
      <c r="J150" s="118">
        <f>IF(G150=0,"",F150/G150)</f>
        <v>2.33333333333333</v>
      </c>
      <c r="K150" s="119">
        <f>IF(H150="REPOR",1,IF(H150="ATENÇÃO",2,3))*1000000+IF(E150="Alta",1,IF(E150="Média",2,3))*10000+MIN(9999,ROUND(IF(G150=0,9.999,F150/G150)*1000,0))</f>
        <v>3012333</v>
      </c>
      <c r="L150" s="113">
        <f>RANK(K150,K$145:K$164,1)+COUNTIF(K$145:K150,K150)-1</f>
        <v>10</v>
      </c>
    </row>
    <row r="151">
      <c r="A151" s="113">
        <f>ROWS(A$145:A151)</f>
        <v>7</v>
      </c>
      <c r="B151" s="111" t="str">
        <f>INDEX(tbEstoque[Material_ID],$A151)</f>
        <v>MAT007</v>
      </c>
      <c r="C151" s="111" t="str">
        <f>INDEX(tbEstoque[Material],$A151)</f>
        <v>Disco de Corte 7 pol</v>
      </c>
      <c r="D151" s="111" t="str">
        <f>INDEX(tbEstoque[Categoria],$A151)</f>
        <v>Corte</v>
      </c>
      <c r="E151" s="101" t="str">
        <f>INDEX(tbEstoque[Criticidade],$A151)</f>
        <v>Alta</v>
      </c>
      <c r="F151" s="103">
        <f>INDEX(tbEstoque[Estoque_Atual],$A151)</f>
        <v>74</v>
      </c>
      <c r="G151" s="103">
        <f>INDEX(tbEstoque[Estoque_Minimo],$A151)</f>
        <v>60</v>
      </c>
      <c r="H151" s="101" t="str">
        <f>INDEX(tbEstoque[Status_Estoque],$A151)</f>
        <v>ATENÇÃO</v>
      </c>
      <c r="I151" s="101" t="str">
        <f>INDEX(tbEstoque[Critico_Em_Risco],$A151)</f>
        <v>Não</v>
      </c>
      <c r="J151" s="118">
        <f>IF(G151=0,"",F151/G151)</f>
        <v>1.23333333333333</v>
      </c>
      <c r="K151" s="119">
        <f>IF(H151="REPOR",1,IF(H151="ATENÇÃO",2,3))*1000000+IF(E151="Alta",1,IF(E151="Média",2,3))*10000+MIN(9999,ROUND(IF(G151=0,9.999,F151/G151)*1000,0))</f>
        <v>2011233</v>
      </c>
      <c r="L151" s="113">
        <f>RANK(K151,K$145:K$164,1)+COUNTIF(K$145:K151,K151)-1</f>
        <v>7</v>
      </c>
    </row>
    <row r="152">
      <c r="A152" s="113">
        <f>ROWS(A$145:A152)</f>
        <v>8</v>
      </c>
      <c r="B152" s="111" t="str">
        <f>INDEX(tbEstoque[Material_ID],$A152)</f>
        <v>MAT008</v>
      </c>
      <c r="C152" s="111" t="str">
        <f>INDEX(tbEstoque[Material],$A152)</f>
        <v>Disco de Corte 4,5 pol</v>
      </c>
      <c r="D152" s="111" t="str">
        <f>INDEX(tbEstoque[Categoria],$A152)</f>
        <v>Corte</v>
      </c>
      <c r="E152" s="101" t="str">
        <f>INDEX(tbEstoque[Criticidade],$A152)</f>
        <v>Média</v>
      </c>
      <c r="F152" s="103">
        <f>INDEX(tbEstoque[Estoque_Atual],$A152)</f>
        <v>210</v>
      </c>
      <c r="G152" s="103">
        <f>INDEX(tbEstoque[Estoque_Minimo],$A152)</f>
        <v>80</v>
      </c>
      <c r="H152" s="101" t="str">
        <f>INDEX(tbEstoque[Status_Estoque],$A152)</f>
        <v>OK</v>
      </c>
      <c r="I152" s="101" t="str">
        <f>INDEX(tbEstoque[Critico_Em_Risco],$A152)</f>
        <v>Não</v>
      </c>
      <c r="J152" s="118">
        <f>IF(G152=0,"",F152/G152)</f>
        <v>2.625</v>
      </c>
      <c r="K152" s="119">
        <f>IF(H152="REPOR",1,IF(H152="ATENÇÃO",2,3))*1000000+IF(E152="Alta",1,IF(E152="Média",2,3))*10000+MIN(9999,ROUND(IF(G152=0,9.999,F152/G152)*1000,0))</f>
        <v>3022625</v>
      </c>
      <c r="L152" s="113">
        <f>RANK(K152,K$145:K$164,1)+COUNTIF(K$145:K152,K152)-1</f>
        <v>13</v>
      </c>
    </row>
    <row r="153">
      <c r="A153" s="113">
        <f>ROWS(A$145:A153)</f>
        <v>9</v>
      </c>
      <c r="B153" s="111" t="str">
        <f>INDEX(tbEstoque[Material_ID],$A153)</f>
        <v>MAT009</v>
      </c>
      <c r="C153" s="111" t="str">
        <f>INDEX(tbEstoque[Material],$A153)</f>
        <v>Serra Copo 51 mm</v>
      </c>
      <c r="D153" s="111" t="str">
        <f>INDEX(tbEstoque[Categoria],$A153)</f>
        <v>Corte</v>
      </c>
      <c r="E153" s="101" t="str">
        <f>INDEX(tbEstoque[Criticidade],$A153)</f>
        <v>Baixa</v>
      </c>
      <c r="F153" s="103">
        <f>INDEX(tbEstoque[Estoque_Atual],$A153)</f>
        <v>12</v>
      </c>
      <c r="G153" s="103">
        <f>INDEX(tbEstoque[Estoque_Minimo],$A153)</f>
        <v>4</v>
      </c>
      <c r="H153" s="101" t="str">
        <f>INDEX(tbEstoque[Status_Estoque],$A153)</f>
        <v>OK</v>
      </c>
      <c r="I153" s="101" t="str">
        <f>INDEX(tbEstoque[Critico_Em_Risco],$A153)</f>
        <v>Não</v>
      </c>
      <c r="J153" s="118">
        <f>IF(G153=0,"",F153/G153)</f>
        <v>3</v>
      </c>
      <c r="K153" s="119">
        <f>IF(H153="REPOR",1,IF(H153="ATENÇÃO",2,3))*1000000+IF(E153="Alta",1,IF(E153="Média",2,3))*10000+MIN(9999,ROUND(IF(G153=0,9.999,F153/G153)*1000,0))</f>
        <v>3033000</v>
      </c>
      <c r="L153" s="113">
        <f>RANK(K153,K$145:K$164,1)+COUNTIF(K$145:K153,K153)-1</f>
        <v>17</v>
      </c>
    </row>
    <row r="154">
      <c r="A154" s="113">
        <f>ROWS(A$145:A154)</f>
        <v>10</v>
      </c>
      <c r="B154" s="111" t="str">
        <f>INDEX(tbEstoque[Material_ID],$A154)</f>
        <v>MAT010</v>
      </c>
      <c r="C154" s="111" t="str">
        <f>INDEX(tbEstoque[Material],$A154)</f>
        <v>Lâmina de Serra Sabre</v>
      </c>
      <c r="D154" s="111" t="str">
        <f>INDEX(tbEstoque[Categoria],$A154)</f>
        <v>Corte</v>
      </c>
      <c r="E154" s="101" t="str">
        <f>INDEX(tbEstoque[Criticidade],$A154)</f>
        <v>Média</v>
      </c>
      <c r="F154" s="103">
        <f>INDEX(tbEstoque[Estoque_Atual],$A154)</f>
        <v>5</v>
      </c>
      <c r="G154" s="103">
        <f>INDEX(tbEstoque[Estoque_Minimo],$A154)</f>
        <v>6</v>
      </c>
      <c r="H154" s="101" t="str">
        <f>INDEX(tbEstoque[Status_Estoque],$A154)</f>
        <v>REPOR</v>
      </c>
      <c r="I154" s="101" t="str">
        <f>INDEX(tbEstoque[Critico_Em_Risco],$A154)</f>
        <v>Não</v>
      </c>
      <c r="J154" s="118">
        <f>IF(G154=0,"",F154/G154)</f>
        <v>0.833333333333333</v>
      </c>
      <c r="K154" s="119">
        <f>IF(H154="REPOR",1,IF(H154="ATENÇÃO",2,3))*1000000+IF(E154="Alta",1,IF(E154="Média",2,3))*10000+MIN(9999,ROUND(IF(G154=0,9.999,F154/G154)*1000,0))</f>
        <v>1020833</v>
      </c>
      <c r="L154" s="113">
        <f>RANK(K154,K$145:K$164,1)+COUNTIF(K$145:K154,K154)-1</f>
        <v>4</v>
      </c>
    </row>
    <row r="155">
      <c r="A155" s="113">
        <f>ROWS(A$145:A155)</f>
        <v>11</v>
      </c>
      <c r="B155" s="111" t="str">
        <f>INDEX(tbEstoque[Material_ID],$A155)</f>
        <v>MAT011</v>
      </c>
      <c r="C155" s="111" t="str">
        <f>INDEX(tbEstoque[Material],$A155)</f>
        <v>Cabo Flexível 2,5 mm² Rolo</v>
      </c>
      <c r="D155" s="111" t="str">
        <f>INDEX(tbEstoque[Categoria],$A155)</f>
        <v>Elétrica</v>
      </c>
      <c r="E155" s="101" t="str">
        <f>INDEX(tbEstoque[Criticidade],$A155)</f>
        <v>Média</v>
      </c>
      <c r="F155" s="103">
        <f>INDEX(tbEstoque[Estoque_Atual],$A155)</f>
        <v>8</v>
      </c>
      <c r="G155" s="103">
        <f>INDEX(tbEstoque[Estoque_Minimo],$A155)</f>
        <v>3</v>
      </c>
      <c r="H155" s="101" t="str">
        <f>INDEX(tbEstoque[Status_Estoque],$A155)</f>
        <v>OK</v>
      </c>
      <c r="I155" s="101" t="str">
        <f>INDEX(tbEstoque[Critico_Em_Risco],$A155)</f>
        <v>Não</v>
      </c>
      <c r="J155" s="118">
        <f>IF(G155=0,"",F155/G155)</f>
        <v>2.66666666666667</v>
      </c>
      <c r="K155" s="119">
        <f>IF(H155="REPOR",1,IF(H155="ATENÇÃO",2,3))*1000000+IF(E155="Alta",1,IF(E155="Média",2,3))*10000+MIN(9999,ROUND(IF(G155=0,9.999,F155/G155)*1000,0))</f>
        <v>3022667</v>
      </c>
      <c r="L155" s="113">
        <f>RANK(K155,K$145:K$164,1)+COUNTIF(K$145:K155,K155)-1</f>
        <v>14</v>
      </c>
    </row>
    <row r="156">
      <c r="A156" s="113">
        <f>ROWS(A$145:A156)</f>
        <v>12</v>
      </c>
      <c r="B156" s="111" t="str">
        <f>INDEX(tbEstoque[Material_ID],$A156)</f>
        <v>MAT012</v>
      </c>
      <c r="C156" s="111" t="str">
        <f>INDEX(tbEstoque[Material],$A156)</f>
        <v>Fita Isolante 19 mm</v>
      </c>
      <c r="D156" s="111" t="str">
        <f>INDEX(tbEstoque[Categoria],$A156)</f>
        <v>Elétrica</v>
      </c>
      <c r="E156" s="101" t="str">
        <f>INDEX(tbEstoque[Criticidade],$A156)</f>
        <v>Baixa</v>
      </c>
      <c r="F156" s="103">
        <f>INDEX(tbEstoque[Estoque_Atual],$A156)</f>
        <v>25</v>
      </c>
      <c r="G156" s="103">
        <f>INDEX(tbEstoque[Estoque_Minimo],$A156)</f>
        <v>10</v>
      </c>
      <c r="H156" s="101" t="str">
        <f>INDEX(tbEstoque[Status_Estoque],$A156)</f>
        <v>OK</v>
      </c>
      <c r="I156" s="101" t="str">
        <f>INDEX(tbEstoque[Critico_Em_Risco],$A156)</f>
        <v>Não</v>
      </c>
      <c r="J156" s="118">
        <f>IF(G156=0,"",F156/G156)</f>
        <v>2.5</v>
      </c>
      <c r="K156" s="119">
        <f>IF(H156="REPOR",1,IF(H156="ATENÇÃO",2,3))*1000000+IF(E156="Alta",1,IF(E156="Média",2,3))*10000+MIN(9999,ROUND(IF(G156=0,9.999,F156/G156)*1000,0))</f>
        <v>3032500</v>
      </c>
      <c r="L156" s="113">
        <f>RANK(K156,K$145:K$164,1)+COUNTIF(K$145:K156,K156)-1</f>
        <v>16</v>
      </c>
    </row>
    <row r="157">
      <c r="A157" s="113">
        <f>ROWS(A$145:A157)</f>
        <v>13</v>
      </c>
      <c r="B157" s="111" t="str">
        <f>INDEX(tbEstoque[Material_ID],$A157)</f>
        <v>MAT013</v>
      </c>
      <c r="C157" s="111" t="str">
        <f>INDEX(tbEstoque[Material],$A157)</f>
        <v>Terminal de Compressão 6 mm²</v>
      </c>
      <c r="D157" s="111" t="str">
        <f>INDEX(tbEstoque[Categoria],$A157)</f>
        <v>Elétrica</v>
      </c>
      <c r="E157" s="101" t="str">
        <f>INDEX(tbEstoque[Criticidade],$A157)</f>
        <v>Média</v>
      </c>
      <c r="F157" s="103">
        <f>INDEX(tbEstoque[Estoque_Atual],$A157)</f>
        <v>14</v>
      </c>
      <c r="G157" s="103">
        <f>INDEX(tbEstoque[Estoque_Minimo],$A157)</f>
        <v>12</v>
      </c>
      <c r="H157" s="101" t="str">
        <f>INDEX(tbEstoque[Status_Estoque],$A157)</f>
        <v>ATENÇÃO</v>
      </c>
      <c r="I157" s="101" t="str">
        <f>INDEX(tbEstoque[Critico_Em_Risco],$A157)</f>
        <v>Não</v>
      </c>
      <c r="J157" s="118">
        <f>IF(G157=0,"",F157/G157)</f>
        <v>1.16666666666667</v>
      </c>
      <c r="K157" s="119">
        <f>IF(H157="REPOR",1,IF(H157="ATENÇÃO",2,3))*1000000+IF(E157="Alta",1,IF(E157="Média",2,3))*10000+MIN(9999,ROUND(IF(G157=0,9.999,F157/G157)*1000,0))</f>
        <v>2021167</v>
      </c>
      <c r="L157" s="113">
        <f>RANK(K157,K$145:K$164,1)+COUNTIF(K$145:K157,K157)-1</f>
        <v>9</v>
      </c>
    </row>
    <row r="158">
      <c r="A158" s="113">
        <f>ROWS(A$145:A158)</f>
        <v>14</v>
      </c>
      <c r="B158" s="111" t="str">
        <f>INDEX(tbEstoque[Material_ID],$A158)</f>
        <v>MAT014</v>
      </c>
      <c r="C158" s="111" t="str">
        <f>INDEX(tbEstoque[Material],$A158)</f>
        <v>Disjuntor Tripolar 32 A</v>
      </c>
      <c r="D158" s="111" t="str">
        <f>INDEX(tbEstoque[Categoria],$A158)</f>
        <v>Elétrica</v>
      </c>
      <c r="E158" s="101" t="str">
        <f>INDEX(tbEstoque[Criticidade],$A158)</f>
        <v>Alta</v>
      </c>
      <c r="F158" s="103">
        <f>INDEX(tbEstoque[Estoque_Atual],$A158)</f>
        <v>3</v>
      </c>
      <c r="G158" s="103">
        <f>INDEX(tbEstoque[Estoque_Minimo],$A158)</f>
        <v>4</v>
      </c>
      <c r="H158" s="101" t="str">
        <f>INDEX(tbEstoque[Status_Estoque],$A158)</f>
        <v>REPOR</v>
      </c>
      <c r="I158" s="101" t="str">
        <f>INDEX(tbEstoque[Critico_Em_Risco],$A158)</f>
        <v>Sim</v>
      </c>
      <c r="J158" s="118">
        <f>IF(G158=0,"",F158/G158)</f>
        <v>0.75</v>
      </c>
      <c r="K158" s="119">
        <f>IF(H158="REPOR",1,IF(H158="ATENÇÃO",2,3))*1000000+IF(E158="Alta",1,IF(E158="Média",2,3))*10000+MIN(9999,ROUND(IF(G158=0,9.999,F158/G158)*1000,0))</f>
        <v>1010750</v>
      </c>
      <c r="L158" s="113">
        <f>RANK(K158,K$145:K$164,1)+COUNTIF(K$145:K158,K158)-1</f>
        <v>2</v>
      </c>
    </row>
    <row r="159">
      <c r="A159" s="113">
        <f>ROWS(A$145:A159)</f>
        <v>15</v>
      </c>
      <c r="B159" s="111" t="str">
        <f>INDEX(tbEstoque[Material_ID],$A159)</f>
        <v>MAT015</v>
      </c>
      <c r="C159" s="111" t="str">
        <f>INDEX(tbEstoque[Material],$A159)</f>
        <v>Luva de Raspa</v>
      </c>
      <c r="D159" s="111" t="str">
        <f>INDEX(tbEstoque[Categoria],$A159)</f>
        <v>EPI</v>
      </c>
      <c r="E159" s="101" t="str">
        <f>INDEX(tbEstoque[Criticidade],$A159)</f>
        <v>Média</v>
      </c>
      <c r="F159" s="103">
        <f>INDEX(tbEstoque[Estoque_Atual],$A159)</f>
        <v>22</v>
      </c>
      <c r="G159" s="103">
        <f>INDEX(tbEstoque[Estoque_Minimo],$A159)</f>
        <v>30</v>
      </c>
      <c r="H159" s="101" t="str">
        <f>INDEX(tbEstoque[Status_Estoque],$A159)</f>
        <v>REPOR</v>
      </c>
      <c r="I159" s="101" t="str">
        <f>INDEX(tbEstoque[Critico_Em_Risco],$A159)</f>
        <v>Não</v>
      </c>
      <c r="J159" s="118">
        <f>IF(G159=0,"",F159/G159)</f>
        <v>0.733333333333333</v>
      </c>
      <c r="K159" s="119">
        <f>IF(H159="REPOR",1,IF(H159="ATENÇÃO",2,3))*1000000+IF(E159="Alta",1,IF(E159="Média",2,3))*10000+MIN(9999,ROUND(IF(G159=0,9.999,F159/G159)*1000,0))</f>
        <v>1020733</v>
      </c>
      <c r="L159" s="113">
        <f>RANK(K159,K$145:K$164,1)+COUNTIF(K$145:K159,K159)-1</f>
        <v>3</v>
      </c>
    </row>
    <row r="160">
      <c r="A160" s="113">
        <f>ROWS(A$145:A160)</f>
        <v>16</v>
      </c>
      <c r="B160" s="111" t="str">
        <f>INDEX(tbEstoque[Material_ID],$A160)</f>
        <v>MAT016</v>
      </c>
      <c r="C160" s="111" t="str">
        <f>INDEX(tbEstoque[Material],$A160)</f>
        <v>Óculos de Proteção Incolor</v>
      </c>
      <c r="D160" s="111" t="str">
        <f>INDEX(tbEstoque[Categoria],$A160)</f>
        <v>EPI</v>
      </c>
      <c r="E160" s="101" t="str">
        <f>INDEX(tbEstoque[Criticidade],$A160)</f>
        <v>Média</v>
      </c>
      <c r="F160" s="103">
        <f>INDEX(tbEstoque[Estoque_Atual],$A160)</f>
        <v>90</v>
      </c>
      <c r="G160" s="103">
        <f>INDEX(tbEstoque[Estoque_Minimo],$A160)</f>
        <v>40</v>
      </c>
      <c r="H160" s="101" t="str">
        <f>INDEX(tbEstoque[Status_Estoque],$A160)</f>
        <v>OK</v>
      </c>
      <c r="I160" s="101" t="str">
        <f>INDEX(tbEstoque[Critico_Em_Risco],$A160)</f>
        <v>Não</v>
      </c>
      <c r="J160" s="118">
        <f>IF(G160=0,"",F160/G160)</f>
        <v>2.25</v>
      </c>
      <c r="K160" s="119">
        <f>IF(H160="REPOR",1,IF(H160="ATENÇÃO",2,3))*1000000+IF(E160="Alta",1,IF(E160="Média",2,3))*10000+MIN(9999,ROUND(IF(G160=0,9.999,F160/G160)*1000,0))</f>
        <v>3022250</v>
      </c>
      <c r="L160" s="113">
        <f>RANK(K160,K$145:K$164,1)+COUNTIF(K$145:K160,K160)-1</f>
        <v>11</v>
      </c>
    </row>
    <row r="161">
      <c r="A161" s="113">
        <f>ROWS(A$145:A161)</f>
        <v>17</v>
      </c>
      <c r="B161" s="111" t="str">
        <f>INDEX(tbEstoque[Material_ID],$A161)</f>
        <v>MAT017</v>
      </c>
      <c r="C161" s="111" t="str">
        <f>INDEX(tbEstoque[Material],$A161)</f>
        <v>Máscara Respiratória PFF2</v>
      </c>
      <c r="D161" s="111" t="str">
        <f>INDEX(tbEstoque[Categoria],$A161)</f>
        <v>EPI</v>
      </c>
      <c r="E161" s="101" t="str">
        <f>INDEX(tbEstoque[Criticidade],$A161)</f>
        <v>Alta</v>
      </c>
      <c r="F161" s="103">
        <f>INDEX(tbEstoque[Estoque_Atual],$A161)</f>
        <v>11</v>
      </c>
      <c r="G161" s="103">
        <f>INDEX(tbEstoque[Estoque_Minimo],$A161)</f>
        <v>10</v>
      </c>
      <c r="H161" s="101" t="str">
        <f>INDEX(tbEstoque[Status_Estoque],$A161)</f>
        <v>ATENÇÃO</v>
      </c>
      <c r="I161" s="101" t="str">
        <f>INDEX(tbEstoque[Critico_Em_Risco],$A161)</f>
        <v>Não</v>
      </c>
      <c r="J161" s="118">
        <f>IF(G161=0,"",F161/G161)</f>
        <v>1.1</v>
      </c>
      <c r="K161" s="119">
        <f>IF(H161="REPOR",1,IF(H161="ATENÇÃO",2,3))*1000000+IF(E161="Alta",1,IF(E161="Média",2,3))*10000+MIN(9999,ROUND(IF(G161=0,9.999,F161/G161)*1000,0))</f>
        <v>2011100</v>
      </c>
      <c r="L161" s="113">
        <f>RANK(K161,K$145:K$164,1)+COUNTIF(K$145:K161,K161)-1</f>
        <v>6</v>
      </c>
    </row>
    <row r="162">
      <c r="A162" s="113">
        <f>ROWS(A$145:A162)</f>
        <v>18</v>
      </c>
      <c r="B162" s="111" t="str">
        <f>INDEX(tbEstoque[Material_ID],$A162)</f>
        <v>MAT018</v>
      </c>
      <c r="C162" s="111" t="str">
        <f>INDEX(tbEstoque[Material],$A162)</f>
        <v>Chave Combinada 17 mm</v>
      </c>
      <c r="D162" s="111" t="str">
        <f>INDEX(tbEstoque[Categoria],$A162)</f>
        <v>Ferramentas</v>
      </c>
      <c r="E162" s="101" t="str">
        <f>INDEX(tbEstoque[Criticidade],$A162)</f>
        <v>Baixa</v>
      </c>
      <c r="F162" s="103">
        <f>INDEX(tbEstoque[Estoque_Atual],$A162)</f>
        <v>12</v>
      </c>
      <c r="G162" s="103">
        <f>INDEX(tbEstoque[Estoque_Minimo],$A162)</f>
        <v>4</v>
      </c>
      <c r="H162" s="101" t="str">
        <f>INDEX(tbEstoque[Status_Estoque],$A162)</f>
        <v>OK</v>
      </c>
      <c r="I162" s="101" t="str">
        <f>INDEX(tbEstoque[Critico_Em_Risco],$A162)</f>
        <v>Não</v>
      </c>
      <c r="J162" s="118">
        <f>IF(G162=0,"",F162/G162)</f>
        <v>3</v>
      </c>
      <c r="K162" s="119">
        <f>IF(H162="REPOR",1,IF(H162="ATENÇÃO",2,3))*1000000+IF(E162="Alta",1,IF(E162="Média",2,3))*10000+MIN(9999,ROUND(IF(G162=0,9.999,F162/G162)*1000,0))</f>
        <v>3033000</v>
      </c>
      <c r="L162" s="113">
        <f>RANK(K162,K$145:K$164,1)+COUNTIF(K$145:K162,K162)-1</f>
        <v>18</v>
      </c>
    </row>
    <row r="163">
      <c r="A163" s="113">
        <f>ROWS(A$145:A163)</f>
        <v>19</v>
      </c>
      <c r="B163" s="111" t="str">
        <f>INDEX(tbEstoque[Material_ID],$A163)</f>
        <v>MAT019</v>
      </c>
      <c r="C163" s="111" t="str">
        <f>INDEX(tbEstoque[Material],$A163)</f>
        <v>Trena de Aço 5 m</v>
      </c>
      <c r="D163" s="111" t="str">
        <f>INDEX(tbEstoque[Categoria],$A163)</f>
        <v>Ferramentas</v>
      </c>
      <c r="E163" s="101" t="str">
        <f>INDEX(tbEstoque[Criticidade],$A163)</f>
        <v>Baixa</v>
      </c>
      <c r="F163" s="103">
        <f>INDEX(tbEstoque[Estoque_Atual],$A163)</f>
        <v>9</v>
      </c>
      <c r="G163" s="103">
        <f>INDEX(tbEstoque[Estoque_Minimo],$A163)</f>
        <v>3</v>
      </c>
      <c r="H163" s="101" t="str">
        <f>INDEX(tbEstoque[Status_Estoque],$A163)</f>
        <v>OK</v>
      </c>
      <c r="I163" s="101" t="str">
        <f>INDEX(tbEstoque[Critico_Em_Risco],$A163)</f>
        <v>Não</v>
      </c>
      <c r="J163" s="118">
        <f>IF(G163=0,"",F163/G163)</f>
        <v>3</v>
      </c>
      <c r="K163" s="119">
        <f>IF(H163="REPOR",1,IF(H163="ATENÇÃO",2,3))*1000000+IF(E163="Alta",1,IF(E163="Média",2,3))*10000+MIN(9999,ROUND(IF(G163=0,9.999,F163/G163)*1000,0))</f>
        <v>3033000</v>
      </c>
      <c r="L163" s="113">
        <f>RANK(K163,K$145:K$164,1)+COUNTIF(K$145:K163,K163)-1</f>
        <v>19</v>
      </c>
    </row>
    <row r="164">
      <c r="A164" s="113">
        <f>ROWS(A$145:A164)</f>
        <v>20</v>
      </c>
      <c r="B164" s="111" t="str">
        <f>INDEX(tbEstoque[Material_ID],$A164)</f>
        <v>MAT020</v>
      </c>
      <c r="C164" s="111" t="str">
        <f>INDEX(tbEstoque[Material],$A164)</f>
        <v>Broca de Aço Rápido 10 mm</v>
      </c>
      <c r="D164" s="111" t="str">
        <f>INDEX(tbEstoque[Categoria],$A164)</f>
        <v>Ferramentas</v>
      </c>
      <c r="E164" s="101" t="str">
        <f>INDEX(tbEstoque[Criticidade],$A164)</f>
        <v>Média</v>
      </c>
      <c r="F164" s="103">
        <f>INDEX(tbEstoque[Estoque_Atual],$A164)</f>
        <v>26</v>
      </c>
      <c r="G164" s="103">
        <f>INDEX(tbEstoque[Estoque_Minimo],$A164)</f>
        <v>10</v>
      </c>
      <c r="H164" s="101" t="str">
        <f>INDEX(tbEstoque[Status_Estoque],$A164)</f>
        <v>OK</v>
      </c>
      <c r="I164" s="101" t="str">
        <f>INDEX(tbEstoque[Critico_Em_Risco],$A164)</f>
        <v>Não</v>
      </c>
      <c r="J164" s="118">
        <f>IF(G164=0,"",F164/G164)</f>
        <v>2.6</v>
      </c>
      <c r="K164" s="119">
        <f>IF(H164="REPOR",1,IF(H164="ATENÇÃO",2,3))*1000000+IF(E164="Alta",1,IF(E164="Média",2,3))*10000+MIN(9999,ROUND(IF(G164=0,9.999,F164/G164)*1000,0))</f>
        <v>3022600</v>
      </c>
      <c r="L164" s="113">
        <f>RANK(K164,K$145:K$164,1)+COUNTIF(K$145:K164,K164)-1</f>
        <v>12</v>
      </c>
    </row>
    <row r="167">
      <c r="A167" s="17" t="inlineStr">
        <is>
          <t>7b. Estoque – fila de prioridade (REPOR primeiro; depois ATENÇÃO; dentro do status: criticidade Alta &gt; Média &gt; Baixa; depois menor cobertura Atual/Mínimo)</t>
        </is>
      </c>
    </row>
    <row r="168" ht="30" customHeight="1">
      <c r="A168" s="100" t="inlineStr">
        <is>
          <t>Posição</t>
        </is>
      </c>
      <c r="B168" s="100" t="inlineStr">
        <is>
          <t>Material_ID</t>
        </is>
      </c>
      <c r="C168" s="100" t="inlineStr">
        <is>
          <t>Material</t>
        </is>
      </c>
      <c r="D168" s="100" t="inlineStr">
        <is>
          <t>Categoria</t>
        </is>
      </c>
      <c r="E168" s="100" t="inlineStr">
        <is>
          <t>Criticidade</t>
        </is>
      </c>
      <c r="F168" s="100" t="inlineStr">
        <is>
          <t>Estoque_Atual</t>
        </is>
      </c>
      <c r="G168" s="100" t="inlineStr">
        <is>
          <t>Estoque_Minimo</t>
        </is>
      </c>
      <c r="H168" s="100" t="inlineStr">
        <is>
          <t>Atual - Mínimo</t>
        </is>
      </c>
      <c r="I168" s="100" t="inlineStr">
        <is>
          <t>Atual / Mínimo</t>
        </is>
      </c>
      <c r="J168" s="100" t="inlineStr">
        <is>
          <t>Status_Estoque</t>
        </is>
      </c>
      <c r="K168" s="100" t="inlineStr">
        <is>
          <t>Critico_Em_Risco</t>
        </is>
      </c>
    </row>
    <row r="169">
      <c r="A169" s="113">
        <f>ROWS(A$169:A169)</f>
        <v>1</v>
      </c>
      <c r="B169" s="111" t="str">
        <f>INDEX($B$145:$B$164,MATCH($A169,$L$145:$L$164,0))</f>
        <v>MAT005</v>
      </c>
      <c r="C169" s="111" t="str">
        <f>INDEX($C$145:$C$164,MATCH($A169,$L$145:$L$164,0))</f>
        <v>Eletrodo Revestido 2,5 mm</v>
      </c>
      <c r="D169" s="111" t="str">
        <f>INDEX($D$145:$D$164,MATCH($A169,$L$145:$L$164,0))</f>
        <v>Soldagem</v>
      </c>
      <c r="E169" s="101" t="str">
        <f>INDEX($E$145:$E$164,MATCH($A169,$L$145:$L$164,0))</f>
        <v>Alta</v>
      </c>
      <c r="F169" s="103">
        <f>INDEX($F$145:$F$164,MATCH($A169,$L$145:$L$164,0))</f>
        <v>7</v>
      </c>
      <c r="G169" s="103">
        <f>INDEX($G$145:$G$164,MATCH($A169,$L$145:$L$164,0))</f>
        <v>12</v>
      </c>
      <c r="H169" s="120">
        <f>F169-G169</f>
        <v>-5</v>
      </c>
      <c r="I169" s="118">
        <f>INDEX($J$145:$J$164,MATCH($A169,$L$145:$L$164,0))</f>
        <v>0.583333333333333</v>
      </c>
      <c r="J169" s="101" t="str">
        <f>INDEX($H$145:$H$164,MATCH($A169,$L$145:$L$164,0))</f>
        <v>REPOR</v>
      </c>
      <c r="K169" s="101" t="str">
        <f>INDEX($I$145:$I$164,MATCH($A169,$L$145:$L$164,0))</f>
        <v>Sim</v>
      </c>
    </row>
    <row r="170">
      <c r="A170" s="113">
        <f>ROWS(A$169:A170)</f>
        <v>2</v>
      </c>
      <c r="B170" s="111" t="str">
        <f>INDEX($B$145:$B$164,MATCH($A170,$L$145:$L$164,0))</f>
        <v>MAT014</v>
      </c>
      <c r="C170" s="111" t="str">
        <f>INDEX($C$145:$C$164,MATCH($A170,$L$145:$L$164,0))</f>
        <v>Disjuntor Tripolar 32 A</v>
      </c>
      <c r="D170" s="111" t="str">
        <f>INDEX($D$145:$D$164,MATCH($A170,$L$145:$L$164,0))</f>
        <v>Elétrica</v>
      </c>
      <c r="E170" s="101" t="str">
        <f>INDEX($E$145:$E$164,MATCH($A170,$L$145:$L$164,0))</f>
        <v>Alta</v>
      </c>
      <c r="F170" s="103">
        <f>INDEX($F$145:$F$164,MATCH($A170,$L$145:$L$164,0))</f>
        <v>3</v>
      </c>
      <c r="G170" s="103">
        <f>INDEX($G$145:$G$164,MATCH($A170,$L$145:$L$164,0))</f>
        <v>4</v>
      </c>
      <c r="H170" s="120">
        <f>F170-G170</f>
        <v>-1</v>
      </c>
      <c r="I170" s="118">
        <f>INDEX($J$145:$J$164,MATCH($A170,$L$145:$L$164,0))</f>
        <v>0.75</v>
      </c>
      <c r="J170" s="101" t="str">
        <f>INDEX($H$145:$H$164,MATCH($A170,$L$145:$L$164,0))</f>
        <v>REPOR</v>
      </c>
      <c r="K170" s="101" t="str">
        <f>INDEX($I$145:$I$164,MATCH($A170,$L$145:$L$164,0))</f>
        <v>Sim</v>
      </c>
    </row>
    <row r="171">
      <c r="A171" s="113">
        <f>ROWS(A$169:A171)</f>
        <v>3</v>
      </c>
      <c r="B171" s="111" t="str">
        <f>INDEX($B$145:$B$164,MATCH($A171,$L$145:$L$164,0))</f>
        <v>MAT015</v>
      </c>
      <c r="C171" s="111" t="str">
        <f>INDEX($C$145:$C$164,MATCH($A171,$L$145:$L$164,0))</f>
        <v>Luva de Raspa</v>
      </c>
      <c r="D171" s="111" t="str">
        <f>INDEX($D$145:$D$164,MATCH($A171,$L$145:$L$164,0))</f>
        <v>EPI</v>
      </c>
      <c r="E171" s="101" t="str">
        <f>INDEX($E$145:$E$164,MATCH($A171,$L$145:$L$164,0))</f>
        <v>Média</v>
      </c>
      <c r="F171" s="103">
        <f>INDEX($F$145:$F$164,MATCH($A171,$L$145:$L$164,0))</f>
        <v>22</v>
      </c>
      <c r="G171" s="103">
        <f>INDEX($G$145:$G$164,MATCH($A171,$L$145:$L$164,0))</f>
        <v>30</v>
      </c>
      <c r="H171" s="120">
        <f>F171-G171</f>
        <v>-8</v>
      </c>
      <c r="I171" s="118">
        <f>INDEX($J$145:$J$164,MATCH($A171,$L$145:$L$164,0))</f>
        <v>0.733333333333333</v>
      </c>
      <c r="J171" s="101" t="str">
        <f>INDEX($H$145:$H$164,MATCH($A171,$L$145:$L$164,0))</f>
        <v>REPOR</v>
      </c>
      <c r="K171" s="101" t="str">
        <f>INDEX($I$145:$I$164,MATCH($A171,$L$145:$L$164,0))</f>
        <v>Não</v>
      </c>
    </row>
    <row r="172">
      <c r="A172" s="113">
        <f>ROWS(A$169:A172)</f>
        <v>4</v>
      </c>
      <c r="B172" s="111" t="str">
        <f>INDEX($B$145:$B$164,MATCH($A172,$L$145:$L$164,0))</f>
        <v>MAT010</v>
      </c>
      <c r="C172" s="111" t="str">
        <f>INDEX($C$145:$C$164,MATCH($A172,$L$145:$L$164,0))</f>
        <v>Lâmina de Serra Sabre</v>
      </c>
      <c r="D172" s="111" t="str">
        <f>INDEX($D$145:$D$164,MATCH($A172,$L$145:$L$164,0))</f>
        <v>Corte</v>
      </c>
      <c r="E172" s="101" t="str">
        <f>INDEX($E$145:$E$164,MATCH($A172,$L$145:$L$164,0))</f>
        <v>Média</v>
      </c>
      <c r="F172" s="103">
        <f>INDEX($F$145:$F$164,MATCH($A172,$L$145:$L$164,0))</f>
        <v>5</v>
      </c>
      <c r="G172" s="103">
        <f>INDEX($G$145:$G$164,MATCH($A172,$L$145:$L$164,0))</f>
        <v>6</v>
      </c>
      <c r="H172" s="120">
        <f>F172-G172</f>
        <v>-1</v>
      </c>
      <c r="I172" s="118">
        <f>INDEX($J$145:$J$164,MATCH($A172,$L$145:$L$164,0))</f>
        <v>0.833333333333333</v>
      </c>
      <c r="J172" s="101" t="str">
        <f>INDEX($H$145:$H$164,MATCH($A172,$L$145:$L$164,0))</f>
        <v>REPOR</v>
      </c>
      <c r="K172" s="101" t="str">
        <f>INDEX($I$145:$I$164,MATCH($A172,$L$145:$L$164,0))</f>
        <v>Não</v>
      </c>
    </row>
    <row r="173">
      <c r="A173" s="113">
        <f>ROWS(A$169:A173)</f>
        <v>5</v>
      </c>
      <c r="B173" s="111" t="str">
        <f>INDEX($B$145:$B$164,MATCH($A173,$L$145:$L$164,0))</f>
        <v>MAT002</v>
      </c>
      <c r="C173" s="111" t="str">
        <f>INDEX($C$145:$C$164,MATCH($A173,$L$145:$L$164,0))</f>
        <v>Disco Flap 4,5 pol Grão 60</v>
      </c>
      <c r="D173" s="111" t="str">
        <f>INDEX($D$145:$D$164,MATCH($A173,$L$145:$L$164,0))</f>
        <v>Abrasivos</v>
      </c>
      <c r="E173" s="101" t="str">
        <f>INDEX($E$145:$E$164,MATCH($A173,$L$145:$L$164,0))</f>
        <v>Baixa</v>
      </c>
      <c r="F173" s="103">
        <f>INDEX($F$145:$F$164,MATCH($A173,$L$145:$L$164,0))</f>
        <v>30</v>
      </c>
      <c r="G173" s="103">
        <f>INDEX($G$145:$G$164,MATCH($A173,$L$145:$L$164,0))</f>
        <v>30</v>
      </c>
      <c r="H173" s="120">
        <f>F173-G173</f>
        <v>0</v>
      </c>
      <c r="I173" s="118">
        <f>INDEX($J$145:$J$164,MATCH($A173,$L$145:$L$164,0))</f>
        <v>1</v>
      </c>
      <c r="J173" s="101" t="str">
        <f>INDEX($H$145:$H$164,MATCH($A173,$L$145:$L$164,0))</f>
        <v>REPOR</v>
      </c>
      <c r="K173" s="101" t="str">
        <f>INDEX($I$145:$I$164,MATCH($A173,$L$145:$L$164,0))</f>
        <v>Não</v>
      </c>
    </row>
    <row r="174">
      <c r="A174" s="113">
        <f>ROWS(A$169:A174)</f>
        <v>6</v>
      </c>
      <c r="B174" s="111" t="str">
        <f>INDEX($B$145:$B$164,MATCH($A174,$L$145:$L$164,0))</f>
        <v>MAT017</v>
      </c>
      <c r="C174" s="111" t="str">
        <f>INDEX($C$145:$C$164,MATCH($A174,$L$145:$L$164,0))</f>
        <v>Máscara Respiratória PFF2</v>
      </c>
      <c r="D174" s="111" t="str">
        <f>INDEX($D$145:$D$164,MATCH($A174,$L$145:$L$164,0))</f>
        <v>EPI</v>
      </c>
      <c r="E174" s="101" t="str">
        <f>INDEX($E$145:$E$164,MATCH($A174,$L$145:$L$164,0))</f>
        <v>Alta</v>
      </c>
      <c r="F174" s="103">
        <f>INDEX($F$145:$F$164,MATCH($A174,$L$145:$L$164,0))</f>
        <v>11</v>
      </c>
      <c r="G174" s="103">
        <f>INDEX($G$145:$G$164,MATCH($A174,$L$145:$L$164,0))</f>
        <v>10</v>
      </c>
      <c r="H174" s="120">
        <f>F174-G174</f>
        <v>1</v>
      </c>
      <c r="I174" s="118">
        <f>INDEX($J$145:$J$164,MATCH($A174,$L$145:$L$164,0))</f>
        <v>1.1</v>
      </c>
      <c r="J174" s="101" t="str">
        <f>INDEX($H$145:$H$164,MATCH($A174,$L$145:$L$164,0))</f>
        <v>ATENÇÃO</v>
      </c>
      <c r="K174" s="101" t="str">
        <f>INDEX($I$145:$I$164,MATCH($A174,$L$145:$L$164,0))</f>
        <v>Não</v>
      </c>
    </row>
    <row r="175">
      <c r="A175" s="113">
        <f>ROWS(A$169:A175)</f>
        <v>7</v>
      </c>
      <c r="B175" s="111" t="str">
        <f>INDEX($B$145:$B$164,MATCH($A175,$L$145:$L$164,0))</f>
        <v>MAT007</v>
      </c>
      <c r="C175" s="111" t="str">
        <f>INDEX($C$145:$C$164,MATCH($A175,$L$145:$L$164,0))</f>
        <v>Disco de Corte 7 pol</v>
      </c>
      <c r="D175" s="111" t="str">
        <f>INDEX($D$145:$D$164,MATCH($A175,$L$145:$L$164,0))</f>
        <v>Corte</v>
      </c>
      <c r="E175" s="101" t="str">
        <f>INDEX($E$145:$E$164,MATCH($A175,$L$145:$L$164,0))</f>
        <v>Alta</v>
      </c>
      <c r="F175" s="103">
        <f>INDEX($F$145:$F$164,MATCH($A175,$L$145:$L$164,0))</f>
        <v>74</v>
      </c>
      <c r="G175" s="103">
        <f>INDEX($G$145:$G$164,MATCH($A175,$L$145:$L$164,0))</f>
        <v>60</v>
      </c>
      <c r="H175" s="120">
        <f>F175-G175</f>
        <v>14</v>
      </c>
      <c r="I175" s="118">
        <f>INDEX($J$145:$J$164,MATCH($A175,$L$145:$L$164,0))</f>
        <v>1.23333333333333</v>
      </c>
      <c r="J175" s="101" t="str">
        <f>INDEX($H$145:$H$164,MATCH($A175,$L$145:$L$164,0))</f>
        <v>ATENÇÃO</v>
      </c>
      <c r="K175" s="101" t="str">
        <f>INDEX($I$145:$I$164,MATCH($A175,$L$145:$L$164,0))</f>
        <v>Não</v>
      </c>
    </row>
    <row r="176">
      <c r="A176" s="113">
        <f>ROWS(A$169:A176)</f>
        <v>8</v>
      </c>
      <c r="B176" s="111" t="str">
        <f>INDEX($B$145:$B$164,MATCH($A176,$L$145:$L$164,0))</f>
        <v>MAT004</v>
      </c>
      <c r="C176" s="111" t="str">
        <f>INDEX($C$145:$C$164,MATCH($A176,$L$145:$L$164,0))</f>
        <v>Bico de Contato MIG 1,0 mm</v>
      </c>
      <c r="D176" s="111" t="str">
        <f>INDEX($D$145:$D$164,MATCH($A176,$L$145:$L$164,0))</f>
        <v>Soldagem</v>
      </c>
      <c r="E176" s="101" t="str">
        <f>INDEX($E$145:$E$164,MATCH($A176,$L$145:$L$164,0))</f>
        <v>Média</v>
      </c>
      <c r="F176" s="103">
        <f>INDEX($F$145:$F$164,MATCH($A176,$L$145:$L$164,0))</f>
        <v>9</v>
      </c>
      <c r="G176" s="103">
        <f>INDEX($G$145:$G$164,MATCH($A176,$L$145:$L$164,0))</f>
        <v>8</v>
      </c>
      <c r="H176" s="120">
        <f>F176-G176</f>
        <v>1</v>
      </c>
      <c r="I176" s="118">
        <f>INDEX($J$145:$J$164,MATCH($A176,$L$145:$L$164,0))</f>
        <v>1.125</v>
      </c>
      <c r="J176" s="101" t="str">
        <f>INDEX($H$145:$H$164,MATCH($A176,$L$145:$L$164,0))</f>
        <v>ATENÇÃO</v>
      </c>
      <c r="K176" s="101" t="str">
        <f>INDEX($I$145:$I$164,MATCH($A176,$L$145:$L$164,0))</f>
        <v>Não</v>
      </c>
    </row>
    <row r="177">
      <c r="A177" s="113">
        <f>ROWS(A$169:A177)</f>
        <v>9</v>
      </c>
      <c r="B177" s="111" t="str">
        <f>INDEX($B$145:$B$164,MATCH($A177,$L$145:$L$164,0))</f>
        <v>MAT013</v>
      </c>
      <c r="C177" s="111" t="str">
        <f>INDEX($C$145:$C$164,MATCH($A177,$L$145:$L$164,0))</f>
        <v>Terminal de Compressão 6 mm²</v>
      </c>
      <c r="D177" s="111" t="str">
        <f>INDEX($D$145:$D$164,MATCH($A177,$L$145:$L$164,0))</f>
        <v>Elétrica</v>
      </c>
      <c r="E177" s="101" t="str">
        <f>INDEX($E$145:$E$164,MATCH($A177,$L$145:$L$164,0))</f>
        <v>Média</v>
      </c>
      <c r="F177" s="103">
        <f>INDEX($F$145:$F$164,MATCH($A177,$L$145:$L$164,0))</f>
        <v>14</v>
      </c>
      <c r="G177" s="103">
        <f>INDEX($G$145:$G$164,MATCH($A177,$L$145:$L$164,0))</f>
        <v>12</v>
      </c>
      <c r="H177" s="120">
        <f>F177-G177</f>
        <v>2</v>
      </c>
      <c r="I177" s="118">
        <f>INDEX($J$145:$J$164,MATCH($A177,$L$145:$L$164,0))</f>
        <v>1.16666666666667</v>
      </c>
      <c r="J177" s="101" t="str">
        <f>INDEX($H$145:$H$164,MATCH($A177,$L$145:$L$164,0))</f>
        <v>ATENÇÃO</v>
      </c>
      <c r="K177" s="101" t="str">
        <f>INDEX($I$145:$I$164,MATCH($A177,$L$145:$L$164,0))</f>
        <v>Não</v>
      </c>
    </row>
    <row r="178">
      <c r="A178" s="113">
        <f>ROWS(A$169:A178)</f>
        <v>10</v>
      </c>
      <c r="B178" s="111" t="str">
        <f>INDEX($B$145:$B$164,MATCH($A178,$L$145:$L$164,0))</f>
        <v>MAT006</v>
      </c>
      <c r="C178" s="111" t="str">
        <f>INDEX($C$145:$C$164,MATCH($A178,$L$145:$L$164,0))</f>
        <v>Arame MIG 1,0 mm Bobina</v>
      </c>
      <c r="D178" s="111" t="str">
        <f>INDEX($D$145:$D$164,MATCH($A178,$L$145:$L$164,0))</f>
        <v>Soldagem</v>
      </c>
      <c r="E178" s="101" t="str">
        <f>INDEX($E$145:$E$164,MATCH($A178,$L$145:$L$164,0))</f>
        <v>Alta</v>
      </c>
      <c r="F178" s="103">
        <f>INDEX($F$145:$F$164,MATCH($A178,$L$145:$L$164,0))</f>
        <v>14</v>
      </c>
      <c r="G178" s="103">
        <f>INDEX($G$145:$G$164,MATCH($A178,$L$145:$L$164,0))</f>
        <v>6</v>
      </c>
      <c r="H178" s="120">
        <f>F178-G178</f>
        <v>8</v>
      </c>
      <c r="I178" s="118">
        <f>INDEX($J$145:$J$164,MATCH($A178,$L$145:$L$164,0))</f>
        <v>2.33333333333333</v>
      </c>
      <c r="J178" s="101" t="str">
        <f>INDEX($H$145:$H$164,MATCH($A178,$L$145:$L$164,0))</f>
        <v>OK</v>
      </c>
      <c r="K178" s="101" t="str">
        <f>INDEX($I$145:$I$164,MATCH($A178,$L$145:$L$164,0))</f>
        <v>Não</v>
      </c>
    </row>
    <row r="179">
      <c r="A179" s="113">
        <f>ROWS(A$169:A179)</f>
        <v>11</v>
      </c>
      <c r="B179" s="111" t="str">
        <f>INDEX($B$145:$B$164,MATCH($A179,$L$145:$L$164,0))</f>
        <v>MAT016</v>
      </c>
      <c r="C179" s="111" t="str">
        <f>INDEX($C$145:$C$164,MATCH($A179,$L$145:$L$164,0))</f>
        <v>Óculos de Proteção Incolor</v>
      </c>
      <c r="D179" s="111" t="str">
        <f>INDEX($D$145:$D$164,MATCH($A179,$L$145:$L$164,0))</f>
        <v>EPI</v>
      </c>
      <c r="E179" s="101" t="str">
        <f>INDEX($E$145:$E$164,MATCH($A179,$L$145:$L$164,0))</f>
        <v>Média</v>
      </c>
      <c r="F179" s="103">
        <f>INDEX($F$145:$F$164,MATCH($A179,$L$145:$L$164,0))</f>
        <v>90</v>
      </c>
      <c r="G179" s="103">
        <f>INDEX($G$145:$G$164,MATCH($A179,$L$145:$L$164,0))</f>
        <v>40</v>
      </c>
      <c r="H179" s="120">
        <f>F179-G179</f>
        <v>50</v>
      </c>
      <c r="I179" s="118">
        <f>INDEX($J$145:$J$164,MATCH($A179,$L$145:$L$164,0))</f>
        <v>2.25</v>
      </c>
      <c r="J179" s="101" t="str">
        <f>INDEX($H$145:$H$164,MATCH($A179,$L$145:$L$164,0))</f>
        <v>OK</v>
      </c>
      <c r="K179" s="101" t="str">
        <f>INDEX($I$145:$I$164,MATCH($A179,$L$145:$L$164,0))</f>
        <v>Não</v>
      </c>
    </row>
    <row r="180">
      <c r="A180" s="113">
        <f>ROWS(A$169:A180)</f>
        <v>12</v>
      </c>
      <c r="B180" s="111" t="str">
        <f>INDEX($B$145:$B$164,MATCH($A180,$L$145:$L$164,0))</f>
        <v>MAT020</v>
      </c>
      <c r="C180" s="111" t="str">
        <f>INDEX($C$145:$C$164,MATCH($A180,$L$145:$L$164,0))</f>
        <v>Broca de Aço Rápido 10 mm</v>
      </c>
      <c r="D180" s="111" t="str">
        <f>INDEX($D$145:$D$164,MATCH($A180,$L$145:$L$164,0))</f>
        <v>Ferramentas</v>
      </c>
      <c r="E180" s="101" t="str">
        <f>INDEX($E$145:$E$164,MATCH($A180,$L$145:$L$164,0))</f>
        <v>Média</v>
      </c>
      <c r="F180" s="103">
        <f>INDEX($F$145:$F$164,MATCH($A180,$L$145:$L$164,0))</f>
        <v>26</v>
      </c>
      <c r="G180" s="103">
        <f>INDEX($G$145:$G$164,MATCH($A180,$L$145:$L$164,0))</f>
        <v>10</v>
      </c>
      <c r="H180" s="120">
        <f>F180-G180</f>
        <v>16</v>
      </c>
      <c r="I180" s="118">
        <f>INDEX($J$145:$J$164,MATCH($A180,$L$145:$L$164,0))</f>
        <v>2.6</v>
      </c>
      <c r="J180" s="101" t="str">
        <f>INDEX($H$145:$H$164,MATCH($A180,$L$145:$L$164,0))</f>
        <v>OK</v>
      </c>
      <c r="K180" s="101" t="str">
        <f>INDEX($I$145:$I$164,MATCH($A180,$L$145:$L$164,0))</f>
        <v>Não</v>
      </c>
    </row>
    <row r="181">
      <c r="A181" s="113">
        <f>ROWS(A$169:A181)</f>
        <v>13</v>
      </c>
      <c r="B181" s="111" t="str">
        <f>INDEX($B$145:$B$164,MATCH($A181,$L$145:$L$164,0))</f>
        <v>MAT008</v>
      </c>
      <c r="C181" s="111" t="str">
        <f>INDEX($C$145:$C$164,MATCH($A181,$L$145:$L$164,0))</f>
        <v>Disco de Corte 4,5 pol</v>
      </c>
      <c r="D181" s="111" t="str">
        <f>INDEX($D$145:$D$164,MATCH($A181,$L$145:$L$164,0))</f>
        <v>Corte</v>
      </c>
      <c r="E181" s="101" t="str">
        <f>INDEX($E$145:$E$164,MATCH($A181,$L$145:$L$164,0))</f>
        <v>Média</v>
      </c>
      <c r="F181" s="103">
        <f>INDEX($F$145:$F$164,MATCH($A181,$L$145:$L$164,0))</f>
        <v>210</v>
      </c>
      <c r="G181" s="103">
        <f>INDEX($G$145:$G$164,MATCH($A181,$L$145:$L$164,0))</f>
        <v>80</v>
      </c>
      <c r="H181" s="120">
        <f>F181-G181</f>
        <v>130</v>
      </c>
      <c r="I181" s="118">
        <f>INDEX($J$145:$J$164,MATCH($A181,$L$145:$L$164,0))</f>
        <v>2.625</v>
      </c>
      <c r="J181" s="101" t="str">
        <f>INDEX($H$145:$H$164,MATCH($A181,$L$145:$L$164,0))</f>
        <v>OK</v>
      </c>
      <c r="K181" s="101" t="str">
        <f>INDEX($I$145:$I$164,MATCH($A181,$L$145:$L$164,0))</f>
        <v>Não</v>
      </c>
    </row>
    <row r="182">
      <c r="A182" s="113">
        <f>ROWS(A$169:A182)</f>
        <v>14</v>
      </c>
      <c r="B182" s="111" t="str">
        <f>INDEX($B$145:$B$164,MATCH($A182,$L$145:$L$164,0))</f>
        <v>MAT011</v>
      </c>
      <c r="C182" s="111" t="str">
        <f>INDEX($C$145:$C$164,MATCH($A182,$L$145:$L$164,0))</f>
        <v>Cabo Flexível 2,5 mm² Rolo</v>
      </c>
      <c r="D182" s="111" t="str">
        <f>INDEX($D$145:$D$164,MATCH($A182,$L$145:$L$164,0))</f>
        <v>Elétrica</v>
      </c>
      <c r="E182" s="101" t="str">
        <f>INDEX($E$145:$E$164,MATCH($A182,$L$145:$L$164,0))</f>
        <v>Média</v>
      </c>
      <c r="F182" s="103">
        <f>INDEX($F$145:$F$164,MATCH($A182,$L$145:$L$164,0))</f>
        <v>8</v>
      </c>
      <c r="G182" s="103">
        <f>INDEX($G$145:$G$164,MATCH($A182,$L$145:$L$164,0))</f>
        <v>3</v>
      </c>
      <c r="H182" s="120">
        <f>F182-G182</f>
        <v>5</v>
      </c>
      <c r="I182" s="118">
        <f>INDEX($J$145:$J$164,MATCH($A182,$L$145:$L$164,0))</f>
        <v>2.66666666666667</v>
      </c>
      <c r="J182" s="101" t="str">
        <f>INDEX($H$145:$H$164,MATCH($A182,$L$145:$L$164,0))</f>
        <v>OK</v>
      </c>
      <c r="K182" s="101" t="str">
        <f>INDEX($I$145:$I$164,MATCH($A182,$L$145:$L$164,0))</f>
        <v>Não</v>
      </c>
    </row>
    <row r="183">
      <c r="A183" s="113">
        <f>ROWS(A$169:A183)</f>
        <v>15</v>
      </c>
      <c r="B183" s="111" t="str">
        <f>INDEX($B$145:$B$164,MATCH($A183,$L$145:$L$164,0))</f>
        <v>MAT001</v>
      </c>
      <c r="C183" s="111" t="str">
        <f>INDEX($C$145:$C$164,MATCH($A183,$L$145:$L$164,0))</f>
        <v>Disco de Desbaste 7 pol</v>
      </c>
      <c r="D183" s="111" t="str">
        <f>INDEX($D$145:$D$164,MATCH($A183,$L$145:$L$164,0))</f>
        <v>Abrasivos</v>
      </c>
      <c r="E183" s="101" t="str">
        <f>INDEX($E$145:$E$164,MATCH($A183,$L$145:$L$164,0))</f>
        <v>Média</v>
      </c>
      <c r="F183" s="103">
        <f>INDEX($F$145:$F$164,MATCH($A183,$L$145:$L$164,0))</f>
        <v>120</v>
      </c>
      <c r="G183" s="103">
        <f>INDEX($G$145:$G$164,MATCH($A183,$L$145:$L$164,0))</f>
        <v>40</v>
      </c>
      <c r="H183" s="120">
        <f>F183-G183</f>
        <v>80</v>
      </c>
      <c r="I183" s="118">
        <f>INDEX($J$145:$J$164,MATCH($A183,$L$145:$L$164,0))</f>
        <v>3</v>
      </c>
      <c r="J183" s="101" t="str">
        <f>INDEX($H$145:$H$164,MATCH($A183,$L$145:$L$164,0))</f>
        <v>OK</v>
      </c>
      <c r="K183" s="101" t="str">
        <f>INDEX($I$145:$I$164,MATCH($A183,$L$145:$L$164,0))</f>
        <v>Não</v>
      </c>
    </row>
    <row r="184">
      <c r="A184" s="113">
        <f>ROWS(A$169:A184)</f>
        <v>16</v>
      </c>
      <c r="B184" s="111" t="str">
        <f>INDEX($B$145:$B$164,MATCH($A184,$L$145:$L$164,0))</f>
        <v>MAT012</v>
      </c>
      <c r="C184" s="111" t="str">
        <f>INDEX($C$145:$C$164,MATCH($A184,$L$145:$L$164,0))</f>
        <v>Fita Isolante 19 mm</v>
      </c>
      <c r="D184" s="111" t="str">
        <f>INDEX($D$145:$D$164,MATCH($A184,$L$145:$L$164,0))</f>
        <v>Elétrica</v>
      </c>
      <c r="E184" s="101" t="str">
        <f>INDEX($E$145:$E$164,MATCH($A184,$L$145:$L$164,0))</f>
        <v>Baixa</v>
      </c>
      <c r="F184" s="103">
        <f>INDEX($F$145:$F$164,MATCH($A184,$L$145:$L$164,0))</f>
        <v>25</v>
      </c>
      <c r="G184" s="103">
        <f>INDEX($G$145:$G$164,MATCH($A184,$L$145:$L$164,0))</f>
        <v>10</v>
      </c>
      <c r="H184" s="120">
        <f>F184-G184</f>
        <v>15</v>
      </c>
      <c r="I184" s="118">
        <f>INDEX($J$145:$J$164,MATCH($A184,$L$145:$L$164,0))</f>
        <v>2.5</v>
      </c>
      <c r="J184" s="101" t="str">
        <f>INDEX($H$145:$H$164,MATCH($A184,$L$145:$L$164,0))</f>
        <v>OK</v>
      </c>
      <c r="K184" s="101" t="str">
        <f>INDEX($I$145:$I$164,MATCH($A184,$L$145:$L$164,0))</f>
        <v>Não</v>
      </c>
    </row>
    <row r="185">
      <c r="A185" s="113">
        <f>ROWS(A$169:A185)</f>
        <v>17</v>
      </c>
      <c r="B185" s="111" t="str">
        <f>INDEX($B$145:$B$164,MATCH($A185,$L$145:$L$164,0))</f>
        <v>MAT009</v>
      </c>
      <c r="C185" s="111" t="str">
        <f>INDEX($C$145:$C$164,MATCH($A185,$L$145:$L$164,0))</f>
        <v>Serra Copo 51 mm</v>
      </c>
      <c r="D185" s="111" t="str">
        <f>INDEX($D$145:$D$164,MATCH($A185,$L$145:$L$164,0))</f>
        <v>Corte</v>
      </c>
      <c r="E185" s="101" t="str">
        <f>INDEX($E$145:$E$164,MATCH($A185,$L$145:$L$164,0))</f>
        <v>Baixa</v>
      </c>
      <c r="F185" s="103">
        <f>INDEX($F$145:$F$164,MATCH($A185,$L$145:$L$164,0))</f>
        <v>12</v>
      </c>
      <c r="G185" s="103">
        <f>INDEX($G$145:$G$164,MATCH($A185,$L$145:$L$164,0))</f>
        <v>4</v>
      </c>
      <c r="H185" s="120">
        <f>F185-G185</f>
        <v>8</v>
      </c>
      <c r="I185" s="118">
        <f>INDEX($J$145:$J$164,MATCH($A185,$L$145:$L$164,0))</f>
        <v>3</v>
      </c>
      <c r="J185" s="101" t="str">
        <f>INDEX($H$145:$H$164,MATCH($A185,$L$145:$L$164,0))</f>
        <v>OK</v>
      </c>
      <c r="K185" s="101" t="str">
        <f>INDEX($I$145:$I$164,MATCH($A185,$L$145:$L$164,0))</f>
        <v>Não</v>
      </c>
    </row>
    <row r="186">
      <c r="A186" s="113">
        <f>ROWS(A$169:A186)</f>
        <v>18</v>
      </c>
      <c r="B186" s="111" t="str">
        <f>INDEX($B$145:$B$164,MATCH($A186,$L$145:$L$164,0))</f>
        <v>MAT018</v>
      </c>
      <c r="C186" s="111" t="str">
        <f>INDEX($C$145:$C$164,MATCH($A186,$L$145:$L$164,0))</f>
        <v>Chave Combinada 17 mm</v>
      </c>
      <c r="D186" s="111" t="str">
        <f>INDEX($D$145:$D$164,MATCH($A186,$L$145:$L$164,0))</f>
        <v>Ferramentas</v>
      </c>
      <c r="E186" s="101" t="str">
        <f>INDEX($E$145:$E$164,MATCH($A186,$L$145:$L$164,0))</f>
        <v>Baixa</v>
      </c>
      <c r="F186" s="103">
        <f>INDEX($F$145:$F$164,MATCH($A186,$L$145:$L$164,0))</f>
        <v>12</v>
      </c>
      <c r="G186" s="103">
        <f>INDEX($G$145:$G$164,MATCH($A186,$L$145:$L$164,0))</f>
        <v>4</v>
      </c>
      <c r="H186" s="120">
        <f>F186-G186</f>
        <v>8</v>
      </c>
      <c r="I186" s="118">
        <f>INDEX($J$145:$J$164,MATCH($A186,$L$145:$L$164,0))</f>
        <v>3</v>
      </c>
      <c r="J186" s="101" t="str">
        <f>INDEX($H$145:$H$164,MATCH($A186,$L$145:$L$164,0))</f>
        <v>OK</v>
      </c>
      <c r="K186" s="101" t="str">
        <f>INDEX($I$145:$I$164,MATCH($A186,$L$145:$L$164,0))</f>
        <v>Não</v>
      </c>
    </row>
    <row r="187">
      <c r="A187" s="113">
        <f>ROWS(A$169:A187)</f>
        <v>19</v>
      </c>
      <c r="B187" s="111" t="str">
        <f>INDEX($B$145:$B$164,MATCH($A187,$L$145:$L$164,0))</f>
        <v>MAT019</v>
      </c>
      <c r="C187" s="111" t="str">
        <f>INDEX($C$145:$C$164,MATCH($A187,$L$145:$L$164,0))</f>
        <v>Trena de Aço 5 m</v>
      </c>
      <c r="D187" s="111" t="str">
        <f>INDEX($D$145:$D$164,MATCH($A187,$L$145:$L$164,0))</f>
        <v>Ferramentas</v>
      </c>
      <c r="E187" s="101" t="str">
        <f>INDEX($E$145:$E$164,MATCH($A187,$L$145:$L$164,0))</f>
        <v>Baixa</v>
      </c>
      <c r="F187" s="103">
        <f>INDEX($F$145:$F$164,MATCH($A187,$L$145:$L$164,0))</f>
        <v>9</v>
      </c>
      <c r="G187" s="103">
        <f>INDEX($G$145:$G$164,MATCH($A187,$L$145:$L$164,0))</f>
        <v>3</v>
      </c>
      <c r="H187" s="120">
        <f>F187-G187</f>
        <v>6</v>
      </c>
      <c r="I187" s="118">
        <f>INDEX($J$145:$J$164,MATCH($A187,$L$145:$L$164,0))</f>
        <v>3</v>
      </c>
      <c r="J187" s="101" t="str">
        <f>INDEX($H$145:$H$164,MATCH($A187,$L$145:$L$164,0))</f>
        <v>OK</v>
      </c>
      <c r="K187" s="101" t="str">
        <f>INDEX($I$145:$I$164,MATCH($A187,$L$145:$L$164,0))</f>
        <v>Não</v>
      </c>
    </row>
    <row r="188">
      <c r="A188" s="113">
        <f>ROWS(A$169:A188)</f>
        <v>20</v>
      </c>
      <c r="B188" s="111" t="str">
        <f>INDEX($B$145:$B$164,MATCH($A188,$L$145:$L$164,0))</f>
        <v>MAT003</v>
      </c>
      <c r="C188" s="111" t="str">
        <f>INDEX($C$145:$C$164,MATCH($A188,$L$145:$L$164,0))</f>
        <v>Lixa de Ferro Grão 80</v>
      </c>
      <c r="D188" s="111" t="str">
        <f>INDEX($D$145:$D$164,MATCH($A188,$L$145:$L$164,0))</f>
        <v>Abrasivos</v>
      </c>
      <c r="E188" s="101" t="str">
        <f>INDEX($E$145:$E$164,MATCH($A188,$L$145:$L$164,0))</f>
        <v>Baixa</v>
      </c>
      <c r="F188" s="103">
        <f>INDEX($F$145:$F$164,MATCH($A188,$L$145:$L$164,0))</f>
        <v>34</v>
      </c>
      <c r="G188" s="103">
        <f>INDEX($G$145:$G$164,MATCH($A188,$L$145:$L$164,0))</f>
        <v>10</v>
      </c>
      <c r="H188" s="120">
        <f>F188-G188</f>
        <v>24</v>
      </c>
      <c r="I188" s="118">
        <f>INDEX($J$145:$J$164,MATCH($A188,$L$145:$L$164,0))</f>
        <v>3.4</v>
      </c>
      <c r="J188" s="101" t="str">
        <f>INDEX($H$145:$H$164,MATCH($A188,$L$145:$L$164,0))</f>
        <v>OK</v>
      </c>
      <c r="K188" s="101" t="str">
        <f>INDEX($I$145:$I$164,MATCH($A188,$L$145:$L$164,0))</f>
        <v>Não</v>
      </c>
    </row>
    <row r="191">
      <c r="A191" s="17" t="inlineStr">
        <is>
          <t>7c. Matriz criticidade × status (contagem de itens; lê tbEstoque)</t>
        </is>
      </c>
    </row>
    <row r="192" ht="30" customHeight="1">
      <c r="A192" s="100" t="inlineStr">
        <is>
          <t>Criticidade</t>
        </is>
      </c>
      <c r="B192" s="100" t="inlineStr">
        <is>
          <t>REPOR</t>
        </is>
      </c>
      <c r="C192" s="100" t="inlineStr">
        <is>
          <t>ATENÇÃO</t>
        </is>
      </c>
      <c r="D192" s="100" t="inlineStr">
        <is>
          <t>OK</t>
        </is>
      </c>
      <c r="E192" s="100" t="inlineStr">
        <is>
          <t>Total</t>
        </is>
      </c>
    </row>
    <row r="193">
      <c r="A193" s="107" t="str">
        <f>Parametros!$C$13</f>
        <v>Alta</v>
      </c>
      <c r="B193" s="121">
        <f>COUNTIFS(tbEstoque[Criticidade],$A193,tbEstoque[Status_Estoque],B$192)</f>
        <v>2</v>
      </c>
      <c r="C193" s="121">
        <f>COUNTIFS(tbEstoque[Criticidade],$A193,tbEstoque[Status_Estoque],C$192)</f>
        <v>2</v>
      </c>
      <c r="D193" s="121">
        <f>COUNTIFS(tbEstoque[Criticidade],$A193,tbEstoque[Status_Estoque],D$192)</f>
        <v>1</v>
      </c>
      <c r="E193" s="122">
        <f>SUM(B193:D193)</f>
        <v>5</v>
      </c>
    </row>
    <row r="194">
      <c r="A194" s="107" t="str">
        <f>Parametros!$C$12</f>
        <v>Média</v>
      </c>
      <c r="B194" s="121">
        <f>COUNTIFS(tbEstoque[Criticidade],$A194,tbEstoque[Status_Estoque],B$192)</f>
        <v>2</v>
      </c>
      <c r="C194" s="121">
        <f>COUNTIFS(tbEstoque[Criticidade],$A194,tbEstoque[Status_Estoque],C$192)</f>
        <v>2</v>
      </c>
      <c r="D194" s="121">
        <f>COUNTIFS(tbEstoque[Criticidade],$A194,tbEstoque[Status_Estoque],D$192)</f>
        <v>5</v>
      </c>
      <c r="E194" s="122">
        <f>SUM(B194:D194)</f>
        <v>9</v>
      </c>
    </row>
    <row r="195">
      <c r="A195" s="107" t="str">
        <f>Parametros!$C$11</f>
        <v>Baixa</v>
      </c>
      <c r="B195" s="121">
        <f>COUNTIFS(tbEstoque[Criticidade],$A195,tbEstoque[Status_Estoque],B$192)</f>
        <v>1</v>
      </c>
      <c r="C195" s="121">
        <f>COUNTIFS(tbEstoque[Criticidade],$A195,tbEstoque[Status_Estoque],C$192)</f>
        <v>0</v>
      </c>
      <c r="D195" s="121">
        <f>COUNTIFS(tbEstoque[Criticidade],$A195,tbEstoque[Status_Estoque],D$192)</f>
        <v>5</v>
      </c>
      <c r="E195" s="122">
        <f>SUM(B195:D195)</f>
        <v>6</v>
      </c>
    </row>
    <row r="196">
      <c r="A196" s="107" t="inlineStr">
        <is>
          <t>Total</t>
        </is>
      </c>
      <c r="B196" s="122">
        <f>SUM(B193:B195)</f>
        <v>5</v>
      </c>
      <c r="C196" s="122">
        <f>SUM(C193:C195)</f>
        <v>4</v>
      </c>
      <c r="D196" s="122">
        <f>SUM(D193:D195)</f>
        <v>11</v>
      </c>
      <c r="E196" s="122">
        <f>SUM(E193:E195)</f>
        <v>20</v>
      </c>
    </row>
    <row r="199">
      <c r="A199" s="17" t="inlineStr">
        <is>
          <t>7d. Painel de atenção do DASHBOARD (primeiros itens da fila que NÃO estão OK)</t>
        </is>
      </c>
    </row>
    <row r="200" ht="30" customHeight="1">
      <c r="A200" s="100" t="inlineStr">
        <is>
          <t>Posição</t>
        </is>
      </c>
      <c r="B200" s="100" t="inlineStr">
        <is>
          <t>Material</t>
        </is>
      </c>
      <c r="C200" s="100" t="inlineStr">
        <is>
          <t>Criticidade</t>
        </is>
      </c>
      <c r="D200" s="100" t="inlineStr">
        <is>
          <t>Estoque atual</t>
        </is>
      </c>
      <c r="E200" s="100" t="inlineStr">
        <is>
          <t>Estoque mínimo</t>
        </is>
      </c>
      <c r="F200" s="100" t="inlineStr">
        <is>
          <t>Status_Estoque</t>
        </is>
      </c>
      <c r="G200" s="100" t="inlineStr">
        <is>
          <t>Critico_Em_Risco</t>
        </is>
      </c>
    </row>
    <row r="201">
      <c r="A201" s="113">
        <f>ROWS(A$201:A201)</f>
        <v>1</v>
      </c>
      <c r="B201" s="111" t="str">
        <f>IF($J169="OK","",C169)</f>
        <v>Eletrodo Revestido 2,5 mm</v>
      </c>
      <c r="C201" s="101" t="str">
        <f>IF($J169="OK","",E169)</f>
        <v>Alta</v>
      </c>
      <c r="D201" s="103">
        <f>IF($J169="OK","",F169)</f>
        <v>7</v>
      </c>
      <c r="E201" s="103">
        <f>IF($J169="OK","",G169)</f>
        <v>12</v>
      </c>
      <c r="F201" s="101" t="str">
        <f>IF($J169="OK","",J169)</f>
        <v>REPOR</v>
      </c>
      <c r="G201" s="101" t="str">
        <f>IF($J169="OK","",K169)</f>
        <v>Sim</v>
      </c>
    </row>
    <row r="202">
      <c r="A202" s="113">
        <f>ROWS(A$201:A202)</f>
        <v>2</v>
      </c>
      <c r="B202" s="111" t="str">
        <f>IF($J170="OK","",C170)</f>
        <v>Disjuntor Tripolar 32 A</v>
      </c>
      <c r="C202" s="101" t="str">
        <f>IF($J170="OK","",E170)</f>
        <v>Alta</v>
      </c>
      <c r="D202" s="103">
        <f>IF($J170="OK","",F170)</f>
        <v>3</v>
      </c>
      <c r="E202" s="103">
        <f>IF($J170="OK","",G170)</f>
        <v>4</v>
      </c>
      <c r="F202" s="101" t="str">
        <f>IF($J170="OK","",J170)</f>
        <v>REPOR</v>
      </c>
      <c r="G202" s="101" t="str">
        <f>IF($J170="OK","",K170)</f>
        <v>Sim</v>
      </c>
    </row>
    <row r="203">
      <c r="A203" s="113">
        <f>ROWS(A$201:A203)</f>
        <v>3</v>
      </c>
      <c r="B203" s="111" t="str">
        <f>IF($J171="OK","",C171)</f>
        <v>Luva de Raspa</v>
      </c>
      <c r="C203" s="101" t="str">
        <f>IF($J171="OK","",E171)</f>
        <v>Média</v>
      </c>
      <c r="D203" s="103">
        <f>IF($J171="OK","",F171)</f>
        <v>22</v>
      </c>
      <c r="E203" s="103">
        <f>IF($J171="OK","",G171)</f>
        <v>30</v>
      </c>
      <c r="F203" s="101" t="str">
        <f>IF($J171="OK","",J171)</f>
        <v>REPOR</v>
      </c>
      <c r="G203" s="101" t="str">
        <f>IF($J171="OK","",K171)</f>
        <v>Não</v>
      </c>
    </row>
    <row r="204">
      <c r="A204" s="113">
        <f>ROWS(A$201:A204)</f>
        <v>4</v>
      </c>
      <c r="B204" s="111" t="str">
        <f>IF($J172="OK","",C172)</f>
        <v>Lâmina de Serra Sabre</v>
      </c>
      <c r="C204" s="101" t="str">
        <f>IF($J172="OK","",E172)</f>
        <v>Média</v>
      </c>
      <c r="D204" s="103">
        <f>IF($J172="OK","",F172)</f>
        <v>5</v>
      </c>
      <c r="E204" s="103">
        <f>IF($J172="OK","",G172)</f>
        <v>6</v>
      </c>
      <c r="F204" s="101" t="str">
        <f>IF($J172="OK","",J172)</f>
        <v>REPOR</v>
      </c>
      <c r="G204" s="101" t="str">
        <f>IF($J172="OK","",K172)</f>
        <v>Não</v>
      </c>
    </row>
    <row r="205">
      <c r="A205" s="113">
        <f>ROWS(A$201:A205)</f>
        <v>5</v>
      </c>
      <c r="B205" s="111" t="str">
        <f>IF($J173="OK","",C173)</f>
        <v>Disco Flap 4,5 pol Grão 60</v>
      </c>
      <c r="C205" s="101" t="str">
        <f>IF($J173="OK","",E173)</f>
        <v>Baixa</v>
      </c>
      <c r="D205" s="103">
        <f>IF($J173="OK","",F173)</f>
        <v>30</v>
      </c>
      <c r="E205" s="103">
        <f>IF($J173="OK","",G173)</f>
        <v>30</v>
      </c>
      <c r="F205" s="101" t="str">
        <f>IF($J173="OK","",J173)</f>
        <v>REPOR</v>
      </c>
      <c r="G205" s="101" t="str">
        <f>IF($J173="OK","",K173)</f>
        <v>Não</v>
      </c>
    </row>
    <row r="206">
      <c r="A206" s="113">
        <f>ROWS(A$201:A206)</f>
        <v>6</v>
      </c>
      <c r="B206" s="111" t="str">
        <f>IF($J174="OK","",C174)</f>
        <v>Máscara Respiratória PFF2</v>
      </c>
      <c r="C206" s="101" t="str">
        <f>IF($J174="OK","",E174)</f>
        <v>Alta</v>
      </c>
      <c r="D206" s="103">
        <f>IF($J174="OK","",F174)</f>
        <v>11</v>
      </c>
      <c r="E206" s="103">
        <f>IF($J174="OK","",G174)</f>
        <v>10</v>
      </c>
      <c r="F206" s="101" t="str">
        <f>IF($J174="OK","",J174)</f>
        <v>ATENÇÃO</v>
      </c>
      <c r="G206" s="101" t="str">
        <f>IF($J174="OK","",K174)</f>
        <v>Não</v>
      </c>
    </row>
    <row r="207">
      <c r="A207" s="113">
        <f>ROWS(A$201:A207)</f>
        <v>7</v>
      </c>
      <c r="B207" s="111" t="str">
        <f>IF($J175="OK","",C175)</f>
        <v>Disco de Corte 7 pol</v>
      </c>
      <c r="C207" s="101" t="str">
        <f>IF($J175="OK","",E175)</f>
        <v>Alta</v>
      </c>
      <c r="D207" s="103">
        <f>IF($J175="OK","",F175)</f>
        <v>74</v>
      </c>
      <c r="E207" s="103">
        <f>IF($J175="OK","",G175)</f>
        <v>60</v>
      </c>
      <c r="F207" s="101" t="str">
        <f>IF($J175="OK","",J175)</f>
        <v>ATENÇÃO</v>
      </c>
      <c r="G207" s="101" t="str">
        <f>IF($J175="OK","",K175)</f>
        <v>Não</v>
      </c>
    </row>
    <row r="208">
      <c r="A208" s="113">
        <f>ROWS(A$201:A208)</f>
        <v>8</v>
      </c>
      <c r="B208" s="111" t="str">
        <f>IF($J176="OK","",C176)</f>
        <v>Bico de Contato MIG 1,0 mm</v>
      </c>
      <c r="C208" s="101" t="str">
        <f>IF($J176="OK","",E176)</f>
        <v>Média</v>
      </c>
      <c r="D208" s="103">
        <f>IF($J176="OK","",F176)</f>
        <v>9</v>
      </c>
      <c r="E208" s="103">
        <f>IF($J176="OK","",G176)</f>
        <v>8</v>
      </c>
      <c r="F208" s="101" t="str">
        <f>IF($J176="OK","",J176)</f>
        <v>ATENÇÃO</v>
      </c>
      <c r="G208" s="101" t="str">
        <f>IF($J176="OK","",K176)</f>
        <v>Não</v>
      </c>
    </row>
    <row r="209">
      <c r="A209" s="113">
        <f>ROWS(A$201:A209)</f>
        <v>9</v>
      </c>
      <c r="B209" s="111" t="str">
        <f>IF($J177="OK","",C177)</f>
        <v>Terminal de Compressão 6 mm²</v>
      </c>
      <c r="C209" s="101" t="str">
        <f>IF($J177="OK","",E177)</f>
        <v>Média</v>
      </c>
      <c r="D209" s="103">
        <f>IF($J177="OK","",F177)</f>
        <v>14</v>
      </c>
      <c r="E209" s="103">
        <f>IF($J177="OK","",G177)</f>
        <v>12</v>
      </c>
      <c r="F209" s="101" t="str">
        <f>IF($J177="OK","",J177)</f>
        <v>ATENÇÃO</v>
      </c>
      <c r="G209" s="101" t="str">
        <f>IF($J177="OK","",K177)</f>
        <v>Não</v>
      </c>
    </row>
    <row r="210">
      <c r="A210" s="113">
        <f>ROWS(A$201:A210)</f>
        <v>10</v>
      </c>
      <c r="B210" s="111" t="str">
        <f>IF($J178="OK","",C178)</f>
        <v/>
      </c>
      <c r="C210" s="101" t="str">
        <f>IF($J178="OK","",E178)</f>
        <v/>
      </c>
      <c r="D210" s="103" t="str">
        <f>IF($J178="OK","",F178)</f>
        <v/>
      </c>
      <c r="E210" s="103" t="str">
        <f>IF($J178="OK","",G178)</f>
        <v/>
      </c>
      <c r="F210" s="101" t="str">
        <f>IF($J178="OK","",J178)</f>
        <v/>
      </c>
      <c r="G210" s="101" t="str">
        <f>IF($J178="OK","",K178)</f>
        <v/>
      </c>
    </row>
    <row r="211">
      <c r="A211" s="107" t="inlineStr">
        <is>
          <t>Itens fora do OK</t>
        </is>
      </c>
      <c r="B211" s="109">
        <f>B196+C196</f>
        <v>9</v>
      </c>
    </row>
    <row r="212">
      <c r="A212" s="107" t="inlineStr">
        <is>
          <t>Não exibidos no painel</t>
        </is>
      </c>
      <c r="B212" s="109">
        <f>MAX(0,B211-10)</f>
        <v>0</v>
      </c>
    </row>
    <row r="215">
      <c r="A215" s="17" t="inlineStr">
        <is>
          <t>8. Conferências da camada analítica (Valor A deve ser igual ao Valor B)</t>
        </is>
      </c>
    </row>
    <row r="216" ht="30" customHeight="1">
      <c r="A216" s="100" t="inlineStr">
        <is>
          <t>Conferência</t>
        </is>
      </c>
      <c r="B216" s="100" t="inlineStr">
        <is>
          <t>Valor A</t>
        </is>
      </c>
      <c r="C216" s="100" t="inlineStr">
        <is>
          <t>Valor B</t>
        </is>
      </c>
      <c r="D216" s="100" t="inlineStr">
        <is>
          <t>Diferença</t>
        </is>
      </c>
      <c r="E216" s="100" t="inlineStr">
        <is>
          <t>Status</t>
        </is>
      </c>
    </row>
    <row r="217">
      <c r="A217" s="111" t="inlineStr">
        <is>
          <t>Σ unidades por mês = KPI Unidades consumidas</t>
        </is>
      </c>
      <c r="B217" s="104">
        <f>D11</f>
        <v>1647</v>
      </c>
      <c r="C217" s="104">
        <f>Indicadores!$B$6</f>
        <v>1647</v>
      </c>
      <c r="D217" s="104">
        <f>B217-C217</f>
        <v>0</v>
      </c>
      <c r="E217" s="102" t="str">
        <f>IF(ABS(D217)&lt;0.005,"OK","DIVERGE")</f>
        <v>OK</v>
      </c>
    </row>
    <row r="218">
      <c r="A218" s="111" t="inlineStr">
        <is>
          <t>Σ custo por mês = KPI Custo estimado</t>
        </is>
      </c>
      <c r="B218" s="104">
        <f>E11</f>
        <v>24606.2</v>
      </c>
      <c r="C218" s="104">
        <f>Indicadores!$B$7</f>
        <v>24606.2</v>
      </c>
      <c r="D218" s="104">
        <f>B218-C218</f>
        <v>0</v>
      </c>
      <c r="E218" s="102" t="str">
        <f>IF(ABS(D218)&lt;0.005,"OK","DIVERGE")</f>
        <v>OK</v>
      </c>
    </row>
    <row r="219">
      <c r="A219" s="111" t="inlineStr">
        <is>
          <t>Σ movimentações por mês = KPI Movimentações</t>
        </is>
      </c>
      <c r="B219" s="104">
        <f>C11</f>
        <v>180</v>
      </c>
      <c r="C219" s="104">
        <f>Indicadores!$B$8</f>
        <v>180</v>
      </c>
      <c r="D219" s="104">
        <f>B219-C219</f>
        <v>0</v>
      </c>
      <c r="E219" s="102" t="str">
        <f>IF(ABS(D219)&lt;0.005,"OK","DIVERGE")</f>
        <v>OK</v>
      </c>
    </row>
    <row r="220">
      <c r="A220" s="111" t="inlineStr">
        <is>
          <t>Σ unidades por categoria (ordenada) = KPI</t>
        </is>
      </c>
      <c r="B220" s="104">
        <f>SUM(C26:C31)</f>
        <v>1647</v>
      </c>
      <c r="C220" s="104">
        <f>Indicadores!$B$6</f>
        <v>1647</v>
      </c>
      <c r="D220" s="104">
        <f>B220-C220</f>
        <v>0</v>
      </c>
      <c r="E220" s="102" t="str">
        <f>IF(ABS(D220)&lt;0.005,"OK","DIVERGE")</f>
        <v>OK</v>
      </c>
    </row>
    <row r="221">
      <c r="A221" s="111" t="inlineStr">
        <is>
          <t>Σ custo por categoria (ordenada) = KPI</t>
        </is>
      </c>
      <c r="B221" s="104">
        <f>SUM(H26:H31)</f>
        <v>24606.2</v>
      </c>
      <c r="C221" s="104">
        <f>Indicadores!$B$7</f>
        <v>24606.2</v>
      </c>
      <c r="D221" s="104">
        <f>B221-C221</f>
        <v>0</v>
      </c>
      <c r="E221" s="102" t="str">
        <f>IF(ABS(D221)&lt;0.005,"OK","DIVERGE")</f>
        <v>OK</v>
      </c>
    </row>
    <row r="222">
      <c r="A222" s="111" t="inlineStr">
        <is>
          <t>Σ unidades por centro (ordenada) = KPI</t>
        </is>
      </c>
      <c r="B222" s="104">
        <f>SUM(C45:C49)</f>
        <v>1647</v>
      </c>
      <c r="C222" s="104">
        <f>Indicadores!$B$6</f>
        <v>1647</v>
      </c>
      <c r="D222" s="104">
        <f>B222-C222</f>
        <v>0</v>
      </c>
      <c r="E222" s="102" t="str">
        <f>IF(ABS(D222)&lt;0.005,"OK","DIVERGE")</f>
        <v>OK</v>
      </c>
    </row>
    <row r="223">
      <c r="A223" s="111" t="inlineStr">
        <is>
          <t>Σ custo por centro (ordenada) = KPI</t>
        </is>
      </c>
      <c r="B223" s="104">
        <f>SUM(H45:H49)</f>
        <v>24606.2</v>
      </c>
      <c r="C223" s="104">
        <f>Indicadores!$B$7</f>
        <v>24606.2</v>
      </c>
      <c r="D223" s="104">
        <f>B223-C223</f>
        <v>0</v>
      </c>
      <c r="E223" s="102" t="str">
        <f>IF(ABS(D223)&lt;0.005,"OK","DIVERGE")</f>
        <v>OK</v>
      </c>
    </row>
    <row r="224">
      <c r="A224" s="111" t="inlineStr">
        <is>
          <t>Σ custo do Pareto de custo = KPI Custo estimado</t>
        </is>
      </c>
      <c r="B224" s="104">
        <f>D99</f>
        <v>24606.2</v>
      </c>
      <c r="C224" s="104">
        <f>Indicadores!$B$7</f>
        <v>24606.2</v>
      </c>
      <c r="D224" s="104">
        <f>B224-C224</f>
        <v>0</v>
      </c>
      <c r="E224" s="102" t="str">
        <f>IF(ABS(D224)&lt;0.005,"OK","DIVERGE")</f>
        <v>OK</v>
      </c>
    </row>
    <row r="225">
      <c r="A225" s="111" t="inlineStr">
        <is>
          <t>Σ unidades do Pareto de consumo = KPI Unidades</t>
        </is>
      </c>
      <c r="B225" s="104">
        <f>D124</f>
        <v>1647</v>
      </c>
      <c r="C225" s="104">
        <f>Indicadores!$B$6</f>
        <v>1647</v>
      </c>
      <c r="D225" s="104">
        <f>B225-C225</f>
        <v>0</v>
      </c>
      <c r="E225" s="102" t="str">
        <f>IF(ABS(D225)&lt;0.005,"OK","DIVERGE")</f>
        <v>OK</v>
      </c>
    </row>
    <row r="226">
      <c r="A226" s="111" t="inlineStr">
        <is>
          <t>% acumulado final do Pareto de custo = 100%</t>
        </is>
      </c>
      <c r="B226" s="123">
        <f>F98</f>
        <v>1</v>
      </c>
      <c r="C226" s="123">
        <f>1</f>
        <v>1</v>
      </c>
      <c r="D226" s="123">
        <f>B226-C226</f>
        <v>0</v>
      </c>
      <c r="E226" s="102" t="str">
        <f>IF(ABS(D226)&lt;0.005,"OK","DIVERGE")</f>
        <v>OK</v>
      </c>
    </row>
    <row r="227">
      <c r="A227" s="111" t="inlineStr">
        <is>
          <t>% acumulado final do Pareto de consumo = 100%</t>
        </is>
      </c>
      <c r="B227" s="123">
        <f>F123</f>
        <v>1</v>
      </c>
      <c r="C227" s="123">
        <f>1</f>
        <v>1</v>
      </c>
      <c r="D227" s="123">
        <f>B227-C227</f>
        <v>0</v>
      </c>
      <c r="E227" s="102" t="str">
        <f>IF(ABS(D227)&lt;0.005,"OK","DIVERGE")</f>
        <v>OK</v>
      </c>
    </row>
    <row r="228">
      <c r="A228" s="111" t="inlineStr">
        <is>
          <t>Posições únicas nos rankings de materiais (unidades e custo) e da fila de estoque (esperado: 3 × nº de materiais)</t>
        </is>
      </c>
      <c r="B228" s="104">
        <f>SUMPRODUCT(1/COUNTIF(H54:H73,H54:H73))+SUMPRODUCT(1/COUNTIF(I54:I73,I54:I73))+SUMPRODUCT(1/COUNTIF(L145:L164,L145:L164))</f>
        <v>60</v>
      </c>
      <c r="C228" s="104">
        <f>3*ROWS(tbMateriais[Material_ID])</f>
        <v>60</v>
      </c>
      <c r="D228" s="104">
        <f>B228-C228</f>
        <v>0</v>
      </c>
      <c r="E228" s="102" t="str">
        <f>IF(ABS(D228)&lt;0.005,"OK","DIVERGE")</f>
        <v>OK</v>
      </c>
    </row>
    <row r="229">
      <c r="A229" s="111" t="inlineStr">
        <is>
          <t>Matriz criticidade × status: total = linhas de tbEstoque</t>
        </is>
      </c>
      <c r="B229" s="104">
        <f>E196</f>
        <v>20</v>
      </c>
      <c r="C229" s="104">
        <f>ROWS(tbEstoque[Material_ID])</f>
        <v>20</v>
      </c>
      <c r="D229" s="104">
        <f>B229-C229</f>
        <v>0</v>
      </c>
      <c r="E229" s="102" t="str">
        <f>IF(ABS(D229)&lt;0.005,"OK","DIVERGE")</f>
        <v>OK</v>
      </c>
    </row>
    <row r="230">
      <c r="A230" s="111" t="inlineStr">
        <is>
          <t>Matriz: coluna REPOR = KPI Itens abaixo ou iguais ao mínimo</t>
        </is>
      </c>
      <c r="B230" s="104">
        <f>B196</f>
        <v>5</v>
      </c>
      <c r="C230" s="104">
        <f>Indicadores!$B$10</f>
        <v>5</v>
      </c>
      <c r="D230" s="104">
        <f>B230-C230</f>
        <v>0</v>
      </c>
      <c r="E230" s="102" t="str">
        <f>IF(ABS(D230)&lt;0.005,"OK","DIVERGE")</f>
        <v>OK</v>
      </c>
    </row>
    <row r="231">
      <c r="A231" s="111" t="inlineStr">
        <is>
          <t>Matriz: Alta × REPOR = KPI Itens críticos</t>
        </is>
      </c>
      <c r="B231" s="104">
        <f>B193</f>
        <v>2</v>
      </c>
      <c r="C231" s="104">
        <f>Indicadores!$B$11</f>
        <v>2</v>
      </c>
      <c r="D231" s="104">
        <f>B231-C231</f>
        <v>0</v>
      </c>
      <c r="E231" s="102" t="str">
        <f>IF(ABS(D231)&lt;0.005,"OK","DIVERGE")</f>
        <v>OK</v>
      </c>
    </row>
    <row r="232">
      <c r="A232" s="111" t="inlineStr">
        <is>
          <t>Fila de prioridade: itens REPOR listados = KPI</t>
        </is>
      </c>
      <c r="B232" s="104">
        <f>COUNTIF(J169:J188,"REPOR")</f>
        <v>5</v>
      </c>
      <c r="C232" s="104">
        <f>Indicadores!$B$10</f>
        <v>5</v>
      </c>
      <c r="D232" s="104">
        <f>B232-C232</f>
        <v>0</v>
      </c>
      <c r="E232" s="102" t="str">
        <f>IF(ABS(D232)&lt;0.005,"OK","DIVERGE")</f>
        <v>OK</v>
      </c>
    </row>
    <row r="233">
      <c r="A233" s="111" t="inlineStr">
        <is>
          <t>Fila de prioridade: nenhum item REPOR depois de um item ATENÇÃO/OK (nº de inversões)</t>
        </is>
      </c>
      <c r="B233" s="104">
        <f>SUMPRODUCT((J169:J187&lt;&gt;"REPOR")*(J170:J188="REPOR"))</f>
        <v>0</v>
      </c>
      <c r="C233" s="104">
        <f>0</f>
        <v>0</v>
      </c>
      <c r="D233" s="104">
        <f>B233-C233</f>
        <v>0</v>
      </c>
      <c r="E233" s="102" t="str">
        <f>IF(ABS(D233)&lt;0.005,"OK","DIVERGE")</f>
        <v>OK</v>
      </c>
    </row>
    <row r="234">
      <c r="A234" s="111" t="inlineStr">
        <is>
          <t>Cartões do DASHBOARD = 6 KPIs de Indicadores (Σ |diferenças|)</t>
        </is>
      </c>
      <c r="B234" s="104">
        <f>ABS(DASHBOARD!B7-Indicadores!$B$6)+ABS(DASHBOARD!D7-Indicadores!$B$7)+ABS(DASHBOARD!F7-Indicadores!$B$8)+ABS(DASHBOARD!H7-Indicadores!$B$9)+ABS(DASHBOARD!J7-Indicadores!$B$10)+ABS(DASHBOARD!L7-Indicadores!$B$11)</f>
        <v>0</v>
      </c>
      <c r="C234" s="104">
        <f>0</f>
        <v>0</v>
      </c>
      <c r="D234" s="104">
        <f>B234-C234</f>
        <v>0</v>
      </c>
      <c r="E234" s="102" t="str">
        <f>IF(ABS(D234)&lt;0.005,"OK","DIVERGE")</f>
        <v>OK</v>
      </c>
    </row>
    <row r="236">
      <c r="A236" s="124" t="inlineStr">
        <is>
          <t>Conferências OK</t>
        </is>
      </c>
      <c r="B236" s="125" t="str">
        <f>COUNTIF(E217:E234,"OK")&amp;" de "&amp;ROWS(E217:E234)</f>
        <v>18 de 18</v>
      </c>
    </row>
  </sheetData>
  <conditionalFormatting sqref="J169:J188">
    <cfRule type="cellIs" priority="1" operator="equal" dxfId="4">
      <formula>"REPOR"</formula>
    </cfRule>
    <cfRule type="cellIs" priority="2" operator="equal" dxfId="5">
      <formula>"ATENÇÃO"</formula>
    </cfRule>
  </conditionalFormatting>
  <conditionalFormatting sqref="H145:H164">
    <cfRule type="cellIs" priority="3" operator="equal" dxfId="4">
      <formula>"REPOR"</formula>
    </cfRule>
    <cfRule type="cellIs" priority="4" operator="equal" dxfId="5">
      <formula>"ATENÇÃO"</formula>
    </cfRule>
  </conditionalFormatting>
  <conditionalFormatting sqref="E217:E234">
    <cfRule type="cellIs" priority="5" operator="equal" dxfId="3">
      <formula>"OK"</formula>
    </cfRule>
    <cfRule type="cellIs" priority="6" operator="equal" dxfId="4">
      <formula>"DIVERGE"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1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7" customWidth="1" min="5" max="5"/>
    <col width="14" customWidth="1" min="6" max="6"/>
    <col width="19" customWidth="1" min="7" max="7"/>
  </cols>
  <sheetData>
    <row r="1" ht="30" customHeight="1">
      <c r="A1" s="7" t="inlineStr">
        <is>
          <t>Material_ID</t>
        </is>
      </c>
      <c r="B1" s="7" t="inlineStr">
        <is>
          <t>Material</t>
        </is>
      </c>
      <c r="C1" s="7" t="inlineStr">
        <is>
          <t>Categoria</t>
        </is>
      </c>
      <c r="D1" s="7" t="inlineStr">
        <is>
          <t>Unidade</t>
        </is>
      </c>
      <c r="E1" s="7" t="inlineStr">
        <is>
          <t>Custo_Unitario</t>
        </is>
      </c>
      <c r="F1" s="7" t="inlineStr">
        <is>
          <t>Criticidade</t>
        </is>
      </c>
      <c r="G1" s="7" t="inlineStr">
        <is>
          <t>Fornecedor</t>
        </is>
      </c>
    </row>
    <row r="2">
      <c r="A2" s="8" t="inlineStr">
        <is>
          <t>MAT001</t>
        </is>
      </c>
      <c r="B2" s="8" t="inlineStr">
        <is>
          <t>Disco de Desbaste 7 pol</t>
        </is>
      </c>
      <c r="C2" s="8" t="inlineStr">
        <is>
          <t>Abrasivos</t>
        </is>
      </c>
      <c r="D2" s="8" t="inlineStr">
        <is>
          <t>UN</t>
        </is>
      </c>
      <c r="E2" s="9" t="n">
        <v>9.800000000000001</v>
      </c>
      <c r="F2" s="8" t="inlineStr">
        <is>
          <t>Média</t>
        </is>
      </c>
      <c r="G2" s="8" t="inlineStr">
        <is>
          <t>Fornecedor Beta</t>
        </is>
      </c>
    </row>
    <row r="3">
      <c r="A3" s="8" t="inlineStr">
        <is>
          <t>MAT002</t>
        </is>
      </c>
      <c r="B3" s="8" t="inlineStr">
        <is>
          <t>Disco Flap 4,5 pol Grão 60</t>
        </is>
      </c>
      <c r="C3" s="8" t="inlineStr">
        <is>
          <t>Abrasivos</t>
        </is>
      </c>
      <c r="D3" s="8" t="inlineStr">
        <is>
          <t>UN</t>
        </is>
      </c>
      <c r="E3" s="9" t="n">
        <v>7.4</v>
      </c>
      <c r="F3" s="8" t="inlineStr">
        <is>
          <t>Baixa</t>
        </is>
      </c>
      <c r="G3" s="8" t="inlineStr">
        <is>
          <t>Fornecedor Beta</t>
        </is>
      </c>
    </row>
    <row r="4">
      <c r="A4" s="8" t="inlineStr">
        <is>
          <t>MAT003</t>
        </is>
      </c>
      <c r="B4" s="8" t="inlineStr">
        <is>
          <t>Lixa de Ferro Grão 80</t>
        </is>
      </c>
      <c r="C4" s="8" t="inlineStr">
        <is>
          <t>Abrasivos</t>
        </is>
      </c>
      <c r="D4" s="8" t="inlineStr">
        <is>
          <t>PCT</t>
        </is>
      </c>
      <c r="E4" s="9" t="n">
        <v>38</v>
      </c>
      <c r="F4" s="8" t="inlineStr">
        <is>
          <t>Baixa</t>
        </is>
      </c>
      <c r="G4" s="8" t="inlineStr">
        <is>
          <t>Fornecedor Gama</t>
        </is>
      </c>
    </row>
    <row r="5">
      <c r="A5" s="8" t="inlineStr">
        <is>
          <t>MAT004</t>
        </is>
      </c>
      <c r="B5" s="8" t="inlineStr">
        <is>
          <t>Bico de Contato MIG 1,0 mm</t>
        </is>
      </c>
      <c r="C5" s="8" t="inlineStr">
        <is>
          <t>Soldagem</t>
        </is>
      </c>
      <c r="D5" s="8" t="inlineStr">
        <is>
          <t>PCT</t>
        </is>
      </c>
      <c r="E5" s="9" t="n">
        <v>45</v>
      </c>
      <c r="F5" s="8" t="inlineStr">
        <is>
          <t>Média</t>
        </is>
      </c>
      <c r="G5" s="8" t="inlineStr">
        <is>
          <t>Fornecedor Delta</t>
        </is>
      </c>
    </row>
    <row r="6">
      <c r="A6" s="8" t="inlineStr">
        <is>
          <t>MAT005</t>
        </is>
      </c>
      <c r="B6" s="8" t="inlineStr">
        <is>
          <t>Eletrodo Revestido 2,5 mm</t>
        </is>
      </c>
      <c r="C6" s="8" t="inlineStr">
        <is>
          <t>Soldagem</t>
        </is>
      </c>
      <c r="D6" s="8" t="inlineStr">
        <is>
          <t>CX</t>
        </is>
      </c>
      <c r="E6" s="9" t="n">
        <v>96</v>
      </c>
      <c r="F6" s="8" t="inlineStr">
        <is>
          <t>Alta</t>
        </is>
      </c>
      <c r="G6" s="8" t="inlineStr">
        <is>
          <t>Fornecedor Alfa</t>
        </is>
      </c>
    </row>
    <row r="7">
      <c r="A7" s="8" t="inlineStr">
        <is>
          <t>MAT006</t>
        </is>
      </c>
      <c r="B7" s="8" t="inlineStr">
        <is>
          <t>Arame MIG 1,0 mm Bobina</t>
        </is>
      </c>
      <c r="C7" s="8" t="inlineStr">
        <is>
          <t>Soldagem</t>
        </is>
      </c>
      <c r="D7" s="8" t="inlineStr">
        <is>
          <t>UN</t>
        </is>
      </c>
      <c r="E7" s="9" t="n">
        <v>210</v>
      </c>
      <c r="F7" s="8" t="inlineStr">
        <is>
          <t>Alta</t>
        </is>
      </c>
      <c r="G7" s="8" t="inlineStr">
        <is>
          <t>Fornecedor Delta</t>
        </is>
      </c>
    </row>
    <row r="8">
      <c r="A8" s="8" t="inlineStr">
        <is>
          <t>MAT007</t>
        </is>
      </c>
      <c r="B8" s="8" t="inlineStr">
        <is>
          <t>Disco de Corte 7 pol</t>
        </is>
      </c>
      <c r="C8" s="8" t="inlineStr">
        <is>
          <t>Corte</t>
        </is>
      </c>
      <c r="D8" s="8" t="inlineStr">
        <is>
          <t>UN</t>
        </is>
      </c>
      <c r="E8" s="9" t="n">
        <v>12.5</v>
      </c>
      <c r="F8" s="8" t="inlineStr">
        <is>
          <t>Alta</t>
        </is>
      </c>
      <c r="G8" s="8" t="inlineStr">
        <is>
          <t>Fornecedor Alfa</t>
        </is>
      </c>
    </row>
    <row r="9">
      <c r="A9" s="8" t="inlineStr">
        <is>
          <t>MAT008</t>
        </is>
      </c>
      <c r="B9" s="8" t="inlineStr">
        <is>
          <t>Disco de Corte 4,5 pol</t>
        </is>
      </c>
      <c r="C9" s="8" t="inlineStr">
        <is>
          <t>Corte</t>
        </is>
      </c>
      <c r="D9" s="8" t="inlineStr">
        <is>
          <t>UN</t>
        </is>
      </c>
      <c r="E9" s="9" t="n">
        <v>5.9</v>
      </c>
      <c r="F9" s="8" t="inlineStr">
        <is>
          <t>Média</t>
        </is>
      </c>
      <c r="G9" s="8" t="inlineStr">
        <is>
          <t>Fornecedor Alfa</t>
        </is>
      </c>
    </row>
    <row r="10">
      <c r="A10" s="8" t="inlineStr">
        <is>
          <t>MAT009</t>
        </is>
      </c>
      <c r="B10" s="8" t="inlineStr">
        <is>
          <t>Serra Copo 51 mm</t>
        </is>
      </c>
      <c r="C10" s="8" t="inlineStr">
        <is>
          <t>Corte</t>
        </is>
      </c>
      <c r="D10" s="8" t="inlineStr">
        <is>
          <t>UN</t>
        </is>
      </c>
      <c r="E10" s="9" t="n">
        <v>46</v>
      </c>
      <c r="F10" s="8" t="inlineStr">
        <is>
          <t>Baixa</t>
        </is>
      </c>
      <c r="G10" s="8" t="inlineStr">
        <is>
          <t>Fornecedor Sigma</t>
        </is>
      </c>
    </row>
    <row r="11">
      <c r="A11" s="8" t="inlineStr">
        <is>
          <t>MAT010</t>
        </is>
      </c>
      <c r="B11" s="8" t="inlineStr">
        <is>
          <t>Lâmina de Serra Sabre</t>
        </is>
      </c>
      <c r="C11" s="8" t="inlineStr">
        <is>
          <t>Corte</t>
        </is>
      </c>
      <c r="D11" s="8" t="inlineStr">
        <is>
          <t>PCT</t>
        </is>
      </c>
      <c r="E11" s="9" t="n">
        <v>62</v>
      </c>
      <c r="F11" s="8" t="inlineStr">
        <is>
          <t>Média</t>
        </is>
      </c>
      <c r="G11" s="8" t="inlineStr">
        <is>
          <t>Fornecedor Sigma</t>
        </is>
      </c>
    </row>
    <row r="12">
      <c r="A12" s="8" t="inlineStr">
        <is>
          <t>MAT011</t>
        </is>
      </c>
      <c r="B12" s="8" t="inlineStr">
        <is>
          <t>Cabo Flexível 2,5 mm² Rolo</t>
        </is>
      </c>
      <c r="C12" s="8" t="inlineStr">
        <is>
          <t>Elétrica</t>
        </is>
      </c>
      <c r="D12" s="8" t="inlineStr">
        <is>
          <t>UN</t>
        </is>
      </c>
      <c r="E12" s="9" t="n">
        <v>285</v>
      </c>
      <c r="F12" s="8" t="inlineStr">
        <is>
          <t>Média</t>
        </is>
      </c>
      <c r="G12" s="8" t="inlineStr">
        <is>
          <t>Fornecedor Beta</t>
        </is>
      </c>
    </row>
    <row r="13">
      <c r="A13" s="8" t="inlineStr">
        <is>
          <t>MAT012</t>
        </is>
      </c>
      <c r="B13" s="8" t="inlineStr">
        <is>
          <t>Fita Isolante 19 mm</t>
        </is>
      </c>
      <c r="C13" s="8" t="inlineStr">
        <is>
          <t>Elétrica</t>
        </is>
      </c>
      <c r="D13" s="8" t="inlineStr">
        <is>
          <t>PCT</t>
        </is>
      </c>
      <c r="E13" s="9" t="n">
        <v>42</v>
      </c>
      <c r="F13" s="8" t="inlineStr">
        <is>
          <t>Baixa</t>
        </is>
      </c>
      <c r="G13" s="8" t="inlineStr">
        <is>
          <t>Fornecedor Gama</t>
        </is>
      </c>
    </row>
    <row r="14">
      <c r="A14" s="8" t="inlineStr">
        <is>
          <t>MAT013</t>
        </is>
      </c>
      <c r="B14" s="8" t="inlineStr">
        <is>
          <t>Terminal de Compressão 6 mm²</t>
        </is>
      </c>
      <c r="C14" s="8" t="inlineStr">
        <is>
          <t>Elétrica</t>
        </is>
      </c>
      <c r="D14" s="8" t="inlineStr">
        <is>
          <t>PCT</t>
        </is>
      </c>
      <c r="E14" s="9" t="n">
        <v>28</v>
      </c>
      <c r="F14" s="8" t="inlineStr">
        <is>
          <t>Média</t>
        </is>
      </c>
      <c r="G14" s="8" t="inlineStr">
        <is>
          <t>Fornecedor Delta</t>
        </is>
      </c>
    </row>
    <row r="15">
      <c r="A15" s="8" t="inlineStr">
        <is>
          <t>MAT014</t>
        </is>
      </c>
      <c r="B15" s="8" t="inlineStr">
        <is>
          <t>Disjuntor Tripolar 32 A</t>
        </is>
      </c>
      <c r="C15" s="8" t="inlineStr">
        <is>
          <t>Elétrica</t>
        </is>
      </c>
      <c r="D15" s="8" t="inlineStr">
        <is>
          <t>UN</t>
        </is>
      </c>
      <c r="E15" s="9" t="n">
        <v>118</v>
      </c>
      <c r="F15" s="8" t="inlineStr">
        <is>
          <t>Alta</t>
        </is>
      </c>
      <c r="G15" s="8" t="inlineStr">
        <is>
          <t>Fornecedor Delta</t>
        </is>
      </c>
    </row>
    <row r="16">
      <c r="A16" s="8" t="inlineStr">
        <is>
          <t>MAT015</t>
        </is>
      </c>
      <c r="B16" s="8" t="inlineStr">
        <is>
          <t>Luva de Raspa</t>
        </is>
      </c>
      <c r="C16" s="8" t="inlineStr">
        <is>
          <t>EPI</t>
        </is>
      </c>
      <c r="D16" s="8" t="inlineStr">
        <is>
          <t>PAR</t>
        </is>
      </c>
      <c r="E16" s="9" t="n">
        <v>15</v>
      </c>
      <c r="F16" s="8" t="inlineStr">
        <is>
          <t>Média</t>
        </is>
      </c>
      <c r="G16" s="8" t="inlineStr">
        <is>
          <t>Fornecedor Sigma</t>
        </is>
      </c>
    </row>
    <row r="17">
      <c r="A17" s="8" t="inlineStr">
        <is>
          <t>MAT016</t>
        </is>
      </c>
      <c r="B17" s="8" t="inlineStr">
        <is>
          <t>Óculos de Proteção Incolor</t>
        </is>
      </c>
      <c r="C17" s="8" t="inlineStr">
        <is>
          <t>EPI</t>
        </is>
      </c>
      <c r="D17" s="8" t="inlineStr">
        <is>
          <t>UN</t>
        </is>
      </c>
      <c r="E17" s="9" t="n">
        <v>6.5</v>
      </c>
      <c r="F17" s="8" t="inlineStr">
        <is>
          <t>Média</t>
        </is>
      </c>
      <c r="G17" s="8" t="inlineStr">
        <is>
          <t>Fornecedor Sigma</t>
        </is>
      </c>
    </row>
    <row r="18">
      <c r="A18" s="8" t="inlineStr">
        <is>
          <t>MAT017</t>
        </is>
      </c>
      <c r="B18" s="8" t="inlineStr">
        <is>
          <t>Máscara Respiratória PFF2</t>
        </is>
      </c>
      <c r="C18" s="8" t="inlineStr">
        <is>
          <t>EPI</t>
        </is>
      </c>
      <c r="D18" s="8" t="inlineStr">
        <is>
          <t>CX</t>
        </is>
      </c>
      <c r="E18" s="9" t="n">
        <v>72</v>
      </c>
      <c r="F18" s="8" t="inlineStr">
        <is>
          <t>Alta</t>
        </is>
      </c>
      <c r="G18" s="8" t="inlineStr">
        <is>
          <t>Fornecedor Sigma</t>
        </is>
      </c>
    </row>
    <row r="19">
      <c r="A19" s="8" t="inlineStr">
        <is>
          <t>MAT018</t>
        </is>
      </c>
      <c r="B19" s="8" t="inlineStr">
        <is>
          <t>Chave Combinada 17 mm</t>
        </is>
      </c>
      <c r="C19" s="8" t="inlineStr">
        <is>
          <t>Ferramentas</t>
        </is>
      </c>
      <c r="D19" s="8" t="inlineStr">
        <is>
          <t>UN</t>
        </is>
      </c>
      <c r="E19" s="9" t="n">
        <v>24</v>
      </c>
      <c r="F19" s="8" t="inlineStr">
        <is>
          <t>Baixa</t>
        </is>
      </c>
      <c r="G19" s="8" t="inlineStr">
        <is>
          <t>Fornecedor Gama</t>
        </is>
      </c>
    </row>
    <row r="20">
      <c r="A20" s="8" t="inlineStr">
        <is>
          <t>MAT019</t>
        </is>
      </c>
      <c r="B20" s="8" t="inlineStr">
        <is>
          <t>Trena de Aço 5 m</t>
        </is>
      </c>
      <c r="C20" s="8" t="inlineStr">
        <is>
          <t>Ferramentas</t>
        </is>
      </c>
      <c r="D20" s="8" t="inlineStr">
        <is>
          <t>UN</t>
        </is>
      </c>
      <c r="E20" s="9" t="n">
        <v>19</v>
      </c>
      <c r="F20" s="8" t="inlineStr">
        <is>
          <t>Baixa</t>
        </is>
      </c>
      <c r="G20" s="8" t="inlineStr">
        <is>
          <t>Fornecedor Beta</t>
        </is>
      </c>
    </row>
    <row r="21">
      <c r="A21" s="8" t="inlineStr">
        <is>
          <t>MAT020</t>
        </is>
      </c>
      <c r="B21" s="8" t="inlineStr">
        <is>
          <t>Broca de Aço Rápido 10 mm</t>
        </is>
      </c>
      <c r="C21" s="8" t="inlineStr">
        <is>
          <t>Ferramentas</t>
        </is>
      </c>
      <c r="D21" s="8" t="inlineStr">
        <is>
          <t>UN</t>
        </is>
      </c>
      <c r="E21" s="9" t="n">
        <v>21</v>
      </c>
      <c r="F21" s="8" t="inlineStr">
        <is>
          <t>Média</t>
        </is>
      </c>
      <c r="G21" s="8" t="inlineStr">
        <is>
          <t>Fornecedor Alfa</t>
        </is>
      </c>
    </row>
  </sheetData>
  <conditionalFormatting sqref="F2:F21">
    <cfRule type="cellIs" priority="1" operator="equal" dxfId="0">
      <formula>"Alta"</formula>
    </cfRule>
  </conditionalFormatting>
  <dataValidations count="4">
    <dataValidation sqref="C2:C21" showDropDown="0" showInputMessage="0" showErrorMessage="1" allowBlank="0" errorTitle="Valor inválido" error="Use um valor da lista Categorias (aba Parametros)." type="list">
      <formula1>=lstCategorias</formula1>
    </dataValidation>
    <dataValidation sqref="D2:D21" showDropDown="0" showInputMessage="0" showErrorMessage="1" allowBlank="0" errorTitle="Valor inválido" error="Use um valor da lista Unidades (aba Parametros)." type="list">
      <formula1>=lstUnidades</formula1>
    </dataValidation>
    <dataValidation sqref="F2:F21" showDropDown="0" showInputMessage="0" showErrorMessage="1" allowBlank="0" errorTitle="Valor inválido" error="Use um valor da lista Criticidade (aba Parametros)." type="list">
      <formula1>=lstCriticidade</formula1>
    </dataValidation>
    <dataValidation sqref="E2:E21" showDropDown="0" showInputMessage="0" showErrorMessage="1" allowBlank="0" errorTitle="Valor inválido" error="Custo_Unitario deve ser maior que zero." type="decimal" operator="greaterThan">
      <formula1>0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1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6" customWidth="1" min="5" max="5"/>
    <col width="17" customWidth="1" min="6" max="6"/>
    <col width="17" customWidth="1" min="7" max="7"/>
    <col width="17" customWidth="1" min="8" max="8"/>
    <col width="19" customWidth="1" min="9" max="9"/>
    <col width="14" customWidth="1" min="10" max="10"/>
    <col width="17" customWidth="1" min="11" max="11"/>
    <col width="19" customWidth="1" min="12" max="12"/>
  </cols>
  <sheetData>
    <row r="1" ht="30" customHeight="1">
      <c r="A1" s="7" t="inlineStr">
        <is>
          <t>Material_ID</t>
        </is>
      </c>
      <c r="B1" s="7" t="inlineStr">
        <is>
          <t>Material</t>
        </is>
      </c>
      <c r="C1" s="7" t="inlineStr">
        <is>
          <t>Categoria</t>
        </is>
      </c>
      <c r="D1" s="7" t="inlineStr">
        <is>
          <t>Unidade</t>
        </is>
      </c>
      <c r="E1" s="7" t="inlineStr">
        <is>
          <t>Estoque_Atual</t>
        </is>
      </c>
      <c r="F1" s="7" t="inlineStr">
        <is>
          <t>Estoque_Minimo</t>
        </is>
      </c>
      <c r="G1" s="7" t="inlineStr">
        <is>
          <t>Custo_Unitario</t>
        </is>
      </c>
      <c r="H1" s="7" t="inlineStr">
        <is>
          <t>Lead_Time_Dias</t>
        </is>
      </c>
      <c r="I1" s="7" t="inlineStr">
        <is>
          <t>Fornecedor</t>
        </is>
      </c>
      <c r="J1" s="7" t="inlineStr">
        <is>
          <t>Criticidade</t>
        </is>
      </c>
      <c r="K1" s="10" t="inlineStr">
        <is>
          <t>Status_Estoque</t>
        </is>
      </c>
      <c r="L1" s="10" t="inlineStr">
        <is>
          <t>Critico_Em_Risco</t>
        </is>
      </c>
    </row>
    <row r="2">
      <c r="A2" s="8" t="inlineStr">
        <is>
          <t>MAT001</t>
        </is>
      </c>
      <c r="B2" s="8" t="inlineStr">
        <is>
          <t>Disco de Desbaste 7 pol</t>
        </is>
      </c>
      <c r="C2" s="8" t="inlineStr">
        <is>
          <t>Abrasivos</t>
        </is>
      </c>
      <c r="D2" s="8" t="inlineStr">
        <is>
          <t>UN</t>
        </is>
      </c>
      <c r="E2" s="11" t="n">
        <v>120</v>
      </c>
      <c r="F2" s="11" t="n">
        <v>40</v>
      </c>
      <c r="G2" s="12" t="n">
        <v>9.800000000000001</v>
      </c>
      <c r="H2" s="11" t="n">
        <v>7</v>
      </c>
      <c r="I2" s="8" t="inlineStr">
        <is>
          <t>Fornecedor Beta</t>
        </is>
      </c>
      <c r="J2" s="8" t="inlineStr">
        <is>
          <t>Média</t>
        </is>
      </c>
      <c r="K2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" s="8" t="str">
        <f>IF(AND(tbEstoque[[#This Row],[Criticidade]]="Alta",tbEstoque[[#This Row],[Status_Estoque]]="REPOR"),"Sim","Não")</f>
        <v>Não</v>
      </c>
    </row>
    <row r="3">
      <c r="A3" s="8" t="inlineStr">
        <is>
          <t>MAT002</t>
        </is>
      </c>
      <c r="B3" s="8" t="inlineStr">
        <is>
          <t>Disco Flap 4,5 pol Grão 60</t>
        </is>
      </c>
      <c r="C3" s="8" t="inlineStr">
        <is>
          <t>Abrasivos</t>
        </is>
      </c>
      <c r="D3" s="8" t="inlineStr">
        <is>
          <t>UN</t>
        </is>
      </c>
      <c r="E3" s="11" t="n">
        <v>30</v>
      </c>
      <c r="F3" s="11" t="n">
        <v>30</v>
      </c>
      <c r="G3" s="12" t="n">
        <v>7.4</v>
      </c>
      <c r="H3" s="11" t="n">
        <v>7</v>
      </c>
      <c r="I3" s="8" t="inlineStr">
        <is>
          <t>Fornecedor Beta</t>
        </is>
      </c>
      <c r="J3" s="8" t="inlineStr">
        <is>
          <t>Baixa</t>
        </is>
      </c>
      <c r="K3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3" s="8" t="str">
        <f>IF(AND(tbEstoque[[#This Row],[Criticidade]]="Alta",tbEstoque[[#This Row],[Status_Estoque]]="REPOR"),"Sim","Não")</f>
        <v>Não</v>
      </c>
    </row>
    <row r="4">
      <c r="A4" s="8" t="inlineStr">
        <is>
          <t>MAT003</t>
        </is>
      </c>
      <c r="B4" s="8" t="inlineStr">
        <is>
          <t>Lixa de Ferro Grão 80</t>
        </is>
      </c>
      <c r="C4" s="8" t="inlineStr">
        <is>
          <t>Abrasivos</t>
        </is>
      </c>
      <c r="D4" s="8" t="inlineStr">
        <is>
          <t>PCT</t>
        </is>
      </c>
      <c r="E4" s="11" t="n">
        <v>34</v>
      </c>
      <c r="F4" s="11" t="n">
        <v>10</v>
      </c>
      <c r="G4" s="12" t="n">
        <v>38</v>
      </c>
      <c r="H4" s="11" t="n">
        <v>10</v>
      </c>
      <c r="I4" s="8" t="inlineStr">
        <is>
          <t>Fornecedor Gama</t>
        </is>
      </c>
      <c r="J4" s="8" t="inlineStr">
        <is>
          <t>Baixa</t>
        </is>
      </c>
      <c r="K4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4" s="8" t="str">
        <f>IF(AND(tbEstoque[[#This Row],[Criticidade]]="Alta",tbEstoque[[#This Row],[Status_Estoque]]="REPOR"),"Sim","Não")</f>
        <v>Não</v>
      </c>
    </row>
    <row r="5">
      <c r="A5" s="8" t="inlineStr">
        <is>
          <t>MAT004</t>
        </is>
      </c>
      <c r="B5" s="8" t="inlineStr">
        <is>
          <t>Bico de Contato MIG 1,0 mm</t>
        </is>
      </c>
      <c r="C5" s="8" t="inlineStr">
        <is>
          <t>Soldagem</t>
        </is>
      </c>
      <c r="D5" s="8" t="inlineStr">
        <is>
          <t>PCT</t>
        </is>
      </c>
      <c r="E5" s="11" t="n">
        <v>9</v>
      </c>
      <c r="F5" s="11" t="n">
        <v>8</v>
      </c>
      <c r="G5" s="12" t="n">
        <v>45</v>
      </c>
      <c r="H5" s="11" t="n">
        <v>14</v>
      </c>
      <c r="I5" s="8" t="inlineStr">
        <is>
          <t>Fornecedor Delta</t>
        </is>
      </c>
      <c r="J5" s="8" t="inlineStr">
        <is>
          <t>Média</t>
        </is>
      </c>
      <c r="K5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5" s="8" t="str">
        <f>IF(AND(tbEstoque[[#This Row],[Criticidade]]="Alta",tbEstoque[[#This Row],[Status_Estoque]]="REPOR"),"Sim","Não")</f>
        <v>Não</v>
      </c>
    </row>
    <row r="6">
      <c r="A6" s="8" t="inlineStr">
        <is>
          <t>MAT005</t>
        </is>
      </c>
      <c r="B6" s="8" t="inlineStr">
        <is>
          <t>Eletrodo Revestido 2,5 mm</t>
        </is>
      </c>
      <c r="C6" s="8" t="inlineStr">
        <is>
          <t>Soldagem</t>
        </is>
      </c>
      <c r="D6" s="8" t="inlineStr">
        <is>
          <t>CX</t>
        </is>
      </c>
      <c r="E6" s="11" t="n">
        <v>7</v>
      </c>
      <c r="F6" s="11" t="n">
        <v>12</v>
      </c>
      <c r="G6" s="12" t="n">
        <v>96</v>
      </c>
      <c r="H6" s="11" t="n">
        <v>12</v>
      </c>
      <c r="I6" s="8" t="inlineStr">
        <is>
          <t>Fornecedor Alfa</t>
        </is>
      </c>
      <c r="J6" s="8" t="inlineStr">
        <is>
          <t>Alta</t>
        </is>
      </c>
      <c r="K6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6" s="8" t="str">
        <f>IF(AND(tbEstoque[[#This Row],[Criticidade]]="Alta",tbEstoque[[#This Row],[Status_Estoque]]="REPOR"),"Sim","Não")</f>
        <v>Sim</v>
      </c>
    </row>
    <row r="7">
      <c r="A7" s="8" t="inlineStr">
        <is>
          <t>MAT006</t>
        </is>
      </c>
      <c r="B7" s="8" t="inlineStr">
        <is>
          <t>Arame MIG 1,0 mm Bobina</t>
        </is>
      </c>
      <c r="C7" s="8" t="inlineStr">
        <is>
          <t>Soldagem</t>
        </is>
      </c>
      <c r="D7" s="8" t="inlineStr">
        <is>
          <t>UN</t>
        </is>
      </c>
      <c r="E7" s="11" t="n">
        <v>14</v>
      </c>
      <c r="F7" s="11" t="n">
        <v>6</v>
      </c>
      <c r="G7" s="12" t="n">
        <v>210</v>
      </c>
      <c r="H7" s="11" t="n">
        <v>21</v>
      </c>
      <c r="I7" s="8" t="inlineStr">
        <is>
          <t>Fornecedor Delta</t>
        </is>
      </c>
      <c r="J7" s="8" t="inlineStr">
        <is>
          <t>Alta</t>
        </is>
      </c>
      <c r="K7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7" s="8" t="str">
        <f>IF(AND(tbEstoque[[#This Row],[Criticidade]]="Alta",tbEstoque[[#This Row],[Status_Estoque]]="REPOR"),"Sim","Não")</f>
        <v>Não</v>
      </c>
    </row>
    <row r="8">
      <c r="A8" s="8" t="inlineStr">
        <is>
          <t>MAT007</t>
        </is>
      </c>
      <c r="B8" s="8" t="inlineStr">
        <is>
          <t>Disco de Corte 7 pol</t>
        </is>
      </c>
      <c r="C8" s="8" t="inlineStr">
        <is>
          <t>Corte</t>
        </is>
      </c>
      <c r="D8" s="8" t="inlineStr">
        <is>
          <t>UN</t>
        </is>
      </c>
      <c r="E8" s="11" t="n">
        <v>74</v>
      </c>
      <c r="F8" s="11" t="n">
        <v>60</v>
      </c>
      <c r="G8" s="12" t="n">
        <v>12.5</v>
      </c>
      <c r="H8" s="11" t="n">
        <v>7</v>
      </c>
      <c r="I8" s="8" t="inlineStr">
        <is>
          <t>Fornecedor Alfa</t>
        </is>
      </c>
      <c r="J8" s="8" t="inlineStr">
        <is>
          <t>Alta</t>
        </is>
      </c>
      <c r="K8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8" s="8" t="str">
        <f>IF(AND(tbEstoque[[#This Row],[Criticidade]]="Alta",tbEstoque[[#This Row],[Status_Estoque]]="REPOR"),"Sim","Não")</f>
        <v>Não</v>
      </c>
    </row>
    <row r="9">
      <c r="A9" s="8" t="inlineStr">
        <is>
          <t>MAT008</t>
        </is>
      </c>
      <c r="B9" s="8" t="inlineStr">
        <is>
          <t>Disco de Corte 4,5 pol</t>
        </is>
      </c>
      <c r="C9" s="8" t="inlineStr">
        <is>
          <t>Corte</t>
        </is>
      </c>
      <c r="D9" s="8" t="inlineStr">
        <is>
          <t>UN</t>
        </is>
      </c>
      <c r="E9" s="11" t="n">
        <v>210</v>
      </c>
      <c r="F9" s="11" t="n">
        <v>80</v>
      </c>
      <c r="G9" s="12" t="n">
        <v>5.9</v>
      </c>
      <c r="H9" s="11" t="n">
        <v>7</v>
      </c>
      <c r="I9" s="8" t="inlineStr">
        <is>
          <t>Fornecedor Alfa</t>
        </is>
      </c>
      <c r="J9" s="8" t="inlineStr">
        <is>
          <t>Média</t>
        </is>
      </c>
      <c r="K9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9" s="8" t="str">
        <f>IF(AND(tbEstoque[[#This Row],[Criticidade]]="Alta",tbEstoque[[#This Row],[Status_Estoque]]="REPOR"),"Sim","Não")</f>
        <v>Não</v>
      </c>
    </row>
    <row r="10">
      <c r="A10" s="8" t="inlineStr">
        <is>
          <t>MAT009</t>
        </is>
      </c>
      <c r="B10" s="8" t="inlineStr">
        <is>
          <t>Serra Copo 51 mm</t>
        </is>
      </c>
      <c r="C10" s="8" t="inlineStr">
        <is>
          <t>Corte</t>
        </is>
      </c>
      <c r="D10" s="8" t="inlineStr">
        <is>
          <t>UN</t>
        </is>
      </c>
      <c r="E10" s="11" t="n">
        <v>12</v>
      </c>
      <c r="F10" s="11" t="n">
        <v>4</v>
      </c>
      <c r="G10" s="12" t="n">
        <v>46</v>
      </c>
      <c r="H10" s="11" t="n">
        <v>15</v>
      </c>
      <c r="I10" s="8" t="inlineStr">
        <is>
          <t>Fornecedor Sigma</t>
        </is>
      </c>
      <c r="J10" s="8" t="inlineStr">
        <is>
          <t>Baixa</t>
        </is>
      </c>
      <c r="K10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0" s="8" t="str">
        <f>IF(AND(tbEstoque[[#This Row],[Criticidade]]="Alta",tbEstoque[[#This Row],[Status_Estoque]]="REPOR"),"Sim","Não")</f>
        <v>Não</v>
      </c>
    </row>
    <row r="11">
      <c r="A11" s="8" t="inlineStr">
        <is>
          <t>MAT010</t>
        </is>
      </c>
      <c r="B11" s="8" t="inlineStr">
        <is>
          <t>Lâmina de Serra Sabre</t>
        </is>
      </c>
      <c r="C11" s="8" t="inlineStr">
        <is>
          <t>Corte</t>
        </is>
      </c>
      <c r="D11" s="8" t="inlineStr">
        <is>
          <t>PCT</t>
        </is>
      </c>
      <c r="E11" s="11" t="n">
        <v>5</v>
      </c>
      <c r="F11" s="11" t="n">
        <v>6</v>
      </c>
      <c r="G11" s="12" t="n">
        <v>62</v>
      </c>
      <c r="H11" s="11" t="n">
        <v>18</v>
      </c>
      <c r="I11" s="8" t="inlineStr">
        <is>
          <t>Fornecedor Sigma</t>
        </is>
      </c>
      <c r="J11" s="8" t="inlineStr">
        <is>
          <t>Média</t>
        </is>
      </c>
      <c r="K11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1" s="8" t="str">
        <f>IF(AND(tbEstoque[[#This Row],[Criticidade]]="Alta",tbEstoque[[#This Row],[Status_Estoque]]="REPOR"),"Sim","Não")</f>
        <v>Não</v>
      </c>
    </row>
    <row r="12">
      <c r="A12" s="8" t="inlineStr">
        <is>
          <t>MAT011</t>
        </is>
      </c>
      <c r="B12" s="8" t="inlineStr">
        <is>
          <t>Cabo Flexível 2,5 mm² Rolo</t>
        </is>
      </c>
      <c r="C12" s="8" t="inlineStr">
        <is>
          <t>Elétrica</t>
        </is>
      </c>
      <c r="D12" s="8" t="inlineStr">
        <is>
          <t>UN</t>
        </is>
      </c>
      <c r="E12" s="11" t="n">
        <v>8</v>
      </c>
      <c r="F12" s="11" t="n">
        <v>3</v>
      </c>
      <c r="G12" s="12" t="n">
        <v>285</v>
      </c>
      <c r="H12" s="11" t="n">
        <v>20</v>
      </c>
      <c r="I12" s="8" t="inlineStr">
        <is>
          <t>Fornecedor Beta</t>
        </is>
      </c>
      <c r="J12" s="8" t="inlineStr">
        <is>
          <t>Média</t>
        </is>
      </c>
      <c r="K12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2" s="8" t="str">
        <f>IF(AND(tbEstoque[[#This Row],[Criticidade]]="Alta",tbEstoque[[#This Row],[Status_Estoque]]="REPOR"),"Sim","Não")</f>
        <v>Não</v>
      </c>
    </row>
    <row r="13">
      <c r="A13" s="8" t="inlineStr">
        <is>
          <t>MAT012</t>
        </is>
      </c>
      <c r="B13" s="8" t="inlineStr">
        <is>
          <t>Fita Isolante 19 mm</t>
        </is>
      </c>
      <c r="C13" s="8" t="inlineStr">
        <is>
          <t>Elétrica</t>
        </is>
      </c>
      <c r="D13" s="8" t="inlineStr">
        <is>
          <t>PCT</t>
        </is>
      </c>
      <c r="E13" s="11" t="n">
        <v>25</v>
      </c>
      <c r="F13" s="11" t="n">
        <v>10</v>
      </c>
      <c r="G13" s="12" t="n">
        <v>42</v>
      </c>
      <c r="H13" s="11" t="n">
        <v>10</v>
      </c>
      <c r="I13" s="8" t="inlineStr">
        <is>
          <t>Fornecedor Gama</t>
        </is>
      </c>
      <c r="J13" s="8" t="inlineStr">
        <is>
          <t>Baixa</t>
        </is>
      </c>
      <c r="K13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3" s="8" t="str">
        <f>IF(AND(tbEstoque[[#This Row],[Criticidade]]="Alta",tbEstoque[[#This Row],[Status_Estoque]]="REPOR"),"Sim","Não")</f>
        <v>Não</v>
      </c>
    </row>
    <row r="14">
      <c r="A14" s="8" t="inlineStr">
        <is>
          <t>MAT013</t>
        </is>
      </c>
      <c r="B14" s="8" t="inlineStr">
        <is>
          <t>Terminal de Compressão 6 mm²</t>
        </is>
      </c>
      <c r="C14" s="8" t="inlineStr">
        <is>
          <t>Elétrica</t>
        </is>
      </c>
      <c r="D14" s="8" t="inlineStr">
        <is>
          <t>PCT</t>
        </is>
      </c>
      <c r="E14" s="11" t="n">
        <v>14</v>
      </c>
      <c r="F14" s="11" t="n">
        <v>12</v>
      </c>
      <c r="G14" s="12" t="n">
        <v>28</v>
      </c>
      <c r="H14" s="11" t="n">
        <v>14</v>
      </c>
      <c r="I14" s="8" t="inlineStr">
        <is>
          <t>Fornecedor Delta</t>
        </is>
      </c>
      <c r="J14" s="8" t="inlineStr">
        <is>
          <t>Média</t>
        </is>
      </c>
      <c r="K14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14" s="8" t="str">
        <f>IF(AND(tbEstoque[[#This Row],[Criticidade]]="Alta",tbEstoque[[#This Row],[Status_Estoque]]="REPOR"),"Sim","Não")</f>
        <v>Não</v>
      </c>
    </row>
    <row r="15">
      <c r="A15" s="8" t="inlineStr">
        <is>
          <t>MAT014</t>
        </is>
      </c>
      <c r="B15" s="8" t="inlineStr">
        <is>
          <t>Disjuntor Tripolar 32 A</t>
        </is>
      </c>
      <c r="C15" s="8" t="inlineStr">
        <is>
          <t>Elétrica</t>
        </is>
      </c>
      <c r="D15" s="8" t="inlineStr">
        <is>
          <t>UN</t>
        </is>
      </c>
      <c r="E15" s="11" t="n">
        <v>3</v>
      </c>
      <c r="F15" s="11" t="n">
        <v>4</v>
      </c>
      <c r="G15" s="12" t="n">
        <v>118</v>
      </c>
      <c r="H15" s="11" t="n">
        <v>21</v>
      </c>
      <c r="I15" s="8" t="inlineStr">
        <is>
          <t>Fornecedor Delta</t>
        </is>
      </c>
      <c r="J15" s="8" t="inlineStr">
        <is>
          <t>Alta</t>
        </is>
      </c>
      <c r="K15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5" s="8" t="str">
        <f>IF(AND(tbEstoque[[#This Row],[Criticidade]]="Alta",tbEstoque[[#This Row],[Status_Estoque]]="REPOR"),"Sim","Não")</f>
        <v>Sim</v>
      </c>
    </row>
    <row r="16">
      <c r="A16" s="8" t="inlineStr">
        <is>
          <t>MAT015</t>
        </is>
      </c>
      <c r="B16" s="8" t="inlineStr">
        <is>
          <t>Luva de Raspa</t>
        </is>
      </c>
      <c r="C16" s="8" t="inlineStr">
        <is>
          <t>EPI</t>
        </is>
      </c>
      <c r="D16" s="8" t="inlineStr">
        <is>
          <t>PAR</t>
        </is>
      </c>
      <c r="E16" s="11" t="n">
        <v>22</v>
      </c>
      <c r="F16" s="11" t="n">
        <v>30</v>
      </c>
      <c r="G16" s="12" t="n">
        <v>15</v>
      </c>
      <c r="H16" s="11" t="n">
        <v>9</v>
      </c>
      <c r="I16" s="8" t="inlineStr">
        <is>
          <t>Fornecedor Sigma</t>
        </is>
      </c>
      <c r="J16" s="8" t="inlineStr">
        <is>
          <t>Média</t>
        </is>
      </c>
      <c r="K16" s="8" t="str">
        <f>IF(tbEstoque[[#This Row],[Estoque_Atual]]&lt;=tbEstoque[[#This Row],[Estoque_Minimo]],"REPOR",IF(tbEstoque[[#This Row],[Estoque_Atual]]&lt;=tbEstoque[[#This Row],[Estoque_Minimo]]*(1+pMargemAtencao),"ATENÇÃO","OK"))</f>
        <v>REPOR</v>
      </c>
      <c r="L16" s="8" t="str">
        <f>IF(AND(tbEstoque[[#This Row],[Criticidade]]="Alta",tbEstoque[[#This Row],[Status_Estoque]]="REPOR"),"Sim","Não")</f>
        <v>Não</v>
      </c>
    </row>
    <row r="17">
      <c r="A17" s="8" t="inlineStr">
        <is>
          <t>MAT016</t>
        </is>
      </c>
      <c r="B17" s="8" t="inlineStr">
        <is>
          <t>Óculos de Proteção Incolor</t>
        </is>
      </c>
      <c r="C17" s="8" t="inlineStr">
        <is>
          <t>EPI</t>
        </is>
      </c>
      <c r="D17" s="8" t="inlineStr">
        <is>
          <t>UN</t>
        </is>
      </c>
      <c r="E17" s="11" t="n">
        <v>90</v>
      </c>
      <c r="F17" s="11" t="n">
        <v>40</v>
      </c>
      <c r="G17" s="12" t="n">
        <v>6.5</v>
      </c>
      <c r="H17" s="11" t="n">
        <v>5</v>
      </c>
      <c r="I17" s="8" t="inlineStr">
        <is>
          <t>Fornecedor Sigma</t>
        </is>
      </c>
      <c r="J17" s="8" t="inlineStr">
        <is>
          <t>Média</t>
        </is>
      </c>
      <c r="K17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7" s="8" t="str">
        <f>IF(AND(tbEstoque[[#This Row],[Criticidade]]="Alta",tbEstoque[[#This Row],[Status_Estoque]]="REPOR"),"Sim","Não")</f>
        <v>Não</v>
      </c>
    </row>
    <row r="18">
      <c r="A18" s="8" t="inlineStr">
        <is>
          <t>MAT017</t>
        </is>
      </c>
      <c r="B18" s="8" t="inlineStr">
        <is>
          <t>Máscara Respiratória PFF2</t>
        </is>
      </c>
      <c r="C18" s="8" t="inlineStr">
        <is>
          <t>EPI</t>
        </is>
      </c>
      <c r="D18" s="8" t="inlineStr">
        <is>
          <t>CX</t>
        </is>
      </c>
      <c r="E18" s="11" t="n">
        <v>11</v>
      </c>
      <c r="F18" s="11" t="n">
        <v>10</v>
      </c>
      <c r="G18" s="12" t="n">
        <v>72</v>
      </c>
      <c r="H18" s="11" t="n">
        <v>12</v>
      </c>
      <c r="I18" s="8" t="inlineStr">
        <is>
          <t>Fornecedor Sigma</t>
        </is>
      </c>
      <c r="J18" s="8" t="inlineStr">
        <is>
          <t>Alta</t>
        </is>
      </c>
      <c r="K18" s="8" t="str">
        <f>IF(tbEstoque[[#This Row],[Estoque_Atual]]&lt;=tbEstoque[[#This Row],[Estoque_Minimo]],"REPOR",IF(tbEstoque[[#This Row],[Estoque_Atual]]&lt;=tbEstoque[[#This Row],[Estoque_Minimo]]*(1+pMargemAtencao),"ATENÇÃO","OK"))</f>
        <v>ATENÇÃO</v>
      </c>
      <c r="L18" s="8" t="str">
        <f>IF(AND(tbEstoque[[#This Row],[Criticidade]]="Alta",tbEstoque[[#This Row],[Status_Estoque]]="REPOR"),"Sim","Não")</f>
        <v>Não</v>
      </c>
    </row>
    <row r="19">
      <c r="A19" s="8" t="inlineStr">
        <is>
          <t>MAT018</t>
        </is>
      </c>
      <c r="B19" s="8" t="inlineStr">
        <is>
          <t>Chave Combinada 17 mm</t>
        </is>
      </c>
      <c r="C19" s="8" t="inlineStr">
        <is>
          <t>Ferramentas</t>
        </is>
      </c>
      <c r="D19" s="8" t="inlineStr">
        <is>
          <t>UN</t>
        </is>
      </c>
      <c r="E19" s="11" t="n">
        <v>12</v>
      </c>
      <c r="F19" s="11" t="n">
        <v>4</v>
      </c>
      <c r="G19" s="12" t="n">
        <v>24</v>
      </c>
      <c r="H19" s="11" t="n">
        <v>10</v>
      </c>
      <c r="I19" s="8" t="inlineStr">
        <is>
          <t>Fornecedor Gama</t>
        </is>
      </c>
      <c r="J19" s="8" t="inlineStr">
        <is>
          <t>Baixa</t>
        </is>
      </c>
      <c r="K19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19" s="8" t="str">
        <f>IF(AND(tbEstoque[[#This Row],[Criticidade]]="Alta",tbEstoque[[#This Row],[Status_Estoque]]="REPOR"),"Sim","Não")</f>
        <v>Não</v>
      </c>
    </row>
    <row r="20">
      <c r="A20" s="8" t="inlineStr">
        <is>
          <t>MAT019</t>
        </is>
      </c>
      <c r="B20" s="8" t="inlineStr">
        <is>
          <t>Trena de Aço 5 m</t>
        </is>
      </c>
      <c r="C20" s="8" t="inlineStr">
        <is>
          <t>Ferramentas</t>
        </is>
      </c>
      <c r="D20" s="8" t="inlineStr">
        <is>
          <t>UN</t>
        </is>
      </c>
      <c r="E20" s="11" t="n">
        <v>9</v>
      </c>
      <c r="F20" s="11" t="n">
        <v>3</v>
      </c>
      <c r="G20" s="12" t="n">
        <v>19</v>
      </c>
      <c r="H20" s="11" t="n">
        <v>8</v>
      </c>
      <c r="I20" s="8" t="inlineStr">
        <is>
          <t>Fornecedor Beta</t>
        </is>
      </c>
      <c r="J20" s="8" t="inlineStr">
        <is>
          <t>Baixa</t>
        </is>
      </c>
      <c r="K20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0" s="8" t="str">
        <f>IF(AND(tbEstoque[[#This Row],[Criticidade]]="Alta",tbEstoque[[#This Row],[Status_Estoque]]="REPOR"),"Sim","Não")</f>
        <v>Não</v>
      </c>
    </row>
    <row r="21">
      <c r="A21" s="8" t="inlineStr">
        <is>
          <t>MAT020</t>
        </is>
      </c>
      <c r="B21" s="8" t="inlineStr">
        <is>
          <t>Broca de Aço Rápido 10 mm</t>
        </is>
      </c>
      <c r="C21" s="8" t="inlineStr">
        <is>
          <t>Ferramentas</t>
        </is>
      </c>
      <c r="D21" s="8" t="inlineStr">
        <is>
          <t>UN</t>
        </is>
      </c>
      <c r="E21" s="11" t="n">
        <v>26</v>
      </c>
      <c r="F21" s="11" t="n">
        <v>10</v>
      </c>
      <c r="G21" s="12" t="n">
        <v>21</v>
      </c>
      <c r="H21" s="11" t="n">
        <v>12</v>
      </c>
      <c r="I21" s="8" t="inlineStr">
        <is>
          <t>Fornecedor Alfa</t>
        </is>
      </c>
      <c r="J21" s="8" t="inlineStr">
        <is>
          <t>Média</t>
        </is>
      </c>
      <c r="K21" s="8" t="str">
        <f>IF(tbEstoque[[#This Row],[Estoque_Atual]]&lt;=tbEstoque[[#This Row],[Estoque_Minimo]],"REPOR",IF(tbEstoque[[#This Row],[Estoque_Atual]]&lt;=tbEstoque[[#This Row],[Estoque_Minimo]]*(1+pMargemAtencao),"ATENÇÃO","OK"))</f>
        <v>OK</v>
      </c>
      <c r="L21" s="8" t="str">
        <f>IF(AND(tbEstoque[[#This Row],[Criticidade]]="Alta",tbEstoque[[#This Row],[Status_Estoque]]="REPOR"),"Sim","Não")</f>
        <v>Não</v>
      </c>
    </row>
  </sheetData>
  <conditionalFormatting sqref="A2:L21">
    <cfRule type="expression" priority="1" dxfId="1">
      <formula>$K2="REPOR"</formula>
    </cfRule>
    <cfRule type="expression" priority="2" dxfId="2">
      <formula>$K2="ATENÇÃO"</formula>
    </cfRule>
  </conditionalFormatting>
  <conditionalFormatting sqref="L2:L21">
    <cfRule type="cellIs" priority="3" operator="equal" dxfId="0">
      <formula>"Sim"</formula>
    </cfRule>
  </conditionalFormatting>
  <conditionalFormatting sqref="J2:J21">
    <cfRule type="cellIs" priority="4" operator="equal" dxfId="0">
      <formula>"Alta"</formula>
    </cfRule>
  </conditionalFormatting>
  <dataValidations count="6">
    <dataValidation sqref="C2:C21" showDropDown="0" showInputMessage="0" showErrorMessage="1" allowBlank="0" errorTitle="Valor inválido" error="Use um valor da lista Categorias (aba Parametros)." type="list">
      <formula1>=lstCategorias</formula1>
    </dataValidation>
    <dataValidation sqref="D2:D21" showDropDown="0" showInputMessage="0" showErrorMessage="1" allowBlank="0" errorTitle="Valor inválido" error="Use um valor da lista Unidades (aba Parametros)." type="list">
      <formula1>=lstUnidades</formula1>
    </dataValidation>
    <dataValidation sqref="J2:J21" showDropDown="0" showInputMessage="0" showErrorMessage="1" allowBlank="0" errorTitle="Valor inválido" error="Use um valor da lista Criticidade (aba Parametros)." type="list">
      <formula1>=lstCriticidade</formula1>
    </dataValidation>
    <dataValidation sqref="E2:F21" showDropDown="0" showInputMessage="0" showErrorMessage="1" allowBlank="0" errorTitle="Valor inválido" error="Estoque deve ser inteiro &gt;= 0." type="whole" operator="greaterThanOrEqual">
      <formula1>0</formula1>
    </dataValidation>
    <dataValidation sqref="G2:G21" showDropDown="0" showInputMessage="0" showErrorMessage="1" allowBlank="0" errorTitle="Valor inválido" error="Custo_Unitario deve ser maior que zero." type="decimal" operator="greaterThan">
      <formula1>0</formula1>
    </dataValidation>
    <dataValidation sqref="H2:H21" showDropDown="0" showInputMessage="0" showErrorMessage="1" allowBlank="0" errorTitle="Valor inválido" error="Lead_Time_Dias deve ser inteiro &gt; 0." type="whole" operator="greaterThan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81"/>
  <sheetViews>
    <sheetView showGridLines="1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31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0" customWidth="1" min="10" max="10"/>
    <col width="20" customWidth="1" min="11" max="11"/>
    <col width="14" customWidth="1" min="12" max="12"/>
  </cols>
  <sheetData>
    <row r="1" ht="30" customHeight="1">
      <c r="A1" s="7" t="inlineStr">
        <is>
          <t>Movimento_ID</t>
        </is>
      </c>
      <c r="B1" s="7" t="inlineStr">
        <is>
          <t>Data</t>
        </is>
      </c>
      <c r="C1" s="7" t="inlineStr">
        <is>
          <t>Material_ID</t>
        </is>
      </c>
      <c r="D1" s="7" t="inlineStr">
        <is>
          <t>Material</t>
        </is>
      </c>
      <c r="E1" s="7" t="inlineStr">
        <is>
          <t>Categoria</t>
        </is>
      </c>
      <c r="F1" s="7" t="inlineStr">
        <is>
          <t>Quantidade</t>
        </is>
      </c>
      <c r="G1" s="7" t="inlineStr">
        <is>
          <t>Unidade</t>
        </is>
      </c>
      <c r="H1" s="7" t="inlineStr">
        <is>
          <t>Custo_Unitario</t>
        </is>
      </c>
      <c r="I1" s="7" t="inlineStr">
        <is>
          <t>Centro_Trabalho</t>
        </is>
      </c>
      <c r="J1" s="7" t="inlineStr">
        <is>
          <t>Tipo_Movimentacao</t>
        </is>
      </c>
      <c r="K1" s="10" t="inlineStr">
        <is>
          <t>Custo_Movimentado</t>
        </is>
      </c>
      <c r="L1" s="10" t="inlineStr">
        <is>
          <t>Mes</t>
        </is>
      </c>
    </row>
    <row r="2">
      <c r="A2" s="8" t="inlineStr">
        <is>
          <t>MOV0001</t>
        </is>
      </c>
      <c r="B2" s="13" t="n">
        <v>46174</v>
      </c>
      <c r="C2" s="8" t="inlineStr">
        <is>
          <t>MAT004</t>
        </is>
      </c>
      <c r="D2" s="8" t="inlineStr">
        <is>
          <t>Bico de Contato MIG 1,0 mm</t>
        </is>
      </c>
      <c r="E2" s="8" t="inlineStr">
        <is>
          <t>Soldagem</t>
        </is>
      </c>
      <c r="F2" s="11" t="n">
        <v>2</v>
      </c>
      <c r="G2" s="8" t="inlineStr">
        <is>
          <t>PCT</t>
        </is>
      </c>
      <c r="H2" s="9" t="n">
        <v>45</v>
      </c>
      <c r="I2" s="8" t="inlineStr">
        <is>
          <t>SOLDAGEM</t>
        </is>
      </c>
      <c r="J2" s="8" t="inlineStr">
        <is>
          <t>Consumo</t>
        </is>
      </c>
      <c r="K2" s="9">
        <f>ROUND(tbConsumo[[#This Row],[Quantidade]]*tbConsumo[[#This Row],[Custo_Unitario]],2)</f>
        <v>90</v>
      </c>
      <c r="L2" s="11" t="str">
        <f>YEAR(tbConsumo[[#This Row],[Data]])&amp;"-"&amp;TEXT(MONTH(tbConsumo[[#This Row],[Data]]),"00")</f>
        <v>2026-06</v>
      </c>
    </row>
    <row r="3">
      <c r="A3" s="8" t="inlineStr">
        <is>
          <t>MOV0002</t>
        </is>
      </c>
      <c r="B3" s="13" t="n">
        <v>46175</v>
      </c>
      <c r="C3" s="8" t="inlineStr">
        <is>
          <t>MAT020</t>
        </is>
      </c>
      <c r="D3" s="8" t="inlineStr">
        <is>
          <t>Broca de Aço Rápido 10 mm</t>
        </is>
      </c>
      <c r="E3" s="8" t="inlineStr">
        <is>
          <t>Ferramentas</t>
        </is>
      </c>
      <c r="F3" s="11" t="n">
        <v>1</v>
      </c>
      <c r="G3" s="8" t="inlineStr">
        <is>
          <t>UN</t>
        </is>
      </c>
      <c r="H3" s="9" t="n">
        <v>21</v>
      </c>
      <c r="I3" s="8" t="inlineStr">
        <is>
          <t>ELETRICA</t>
        </is>
      </c>
      <c r="J3" s="8" t="inlineStr">
        <is>
          <t>Consumo</t>
        </is>
      </c>
      <c r="K3" s="9">
        <f>ROUND(tbConsumo[[#This Row],[Quantidade]]*tbConsumo[[#This Row],[Custo_Unitario]],2)</f>
        <v>21</v>
      </c>
      <c r="L3" s="11" t="str">
        <f>YEAR(tbConsumo[[#This Row],[Data]])&amp;"-"&amp;TEXT(MONTH(tbConsumo[[#This Row],[Data]]),"00")</f>
        <v>2026-06</v>
      </c>
    </row>
    <row r="4">
      <c r="A4" s="8" t="inlineStr">
        <is>
          <t>MOV0003</t>
        </is>
      </c>
      <c r="B4" s="13" t="n">
        <v>46176</v>
      </c>
      <c r="C4" s="8" t="inlineStr">
        <is>
          <t>MAT018</t>
        </is>
      </c>
      <c r="D4" s="8" t="inlineStr">
        <is>
          <t>Chave Combinada 17 mm</t>
        </is>
      </c>
      <c r="E4" s="8" t="inlineStr">
        <is>
          <t>Ferramentas</t>
        </is>
      </c>
      <c r="F4" s="11" t="n">
        <v>2</v>
      </c>
      <c r="G4" s="8" t="inlineStr">
        <is>
          <t>UN</t>
        </is>
      </c>
      <c r="H4" s="9" t="n">
        <v>24</v>
      </c>
      <c r="I4" s="8" t="inlineStr">
        <is>
          <t>MANUTENCAO</t>
        </is>
      </c>
      <c r="J4" s="8" t="inlineStr">
        <is>
          <t>Consumo</t>
        </is>
      </c>
      <c r="K4" s="9">
        <f>ROUND(tbConsumo[[#This Row],[Quantidade]]*tbConsumo[[#This Row],[Custo_Unitario]],2)</f>
        <v>48</v>
      </c>
      <c r="L4" s="11" t="str">
        <f>YEAR(tbConsumo[[#This Row],[Data]])&amp;"-"&amp;TEXT(MONTH(tbConsumo[[#This Row],[Data]]),"00")</f>
        <v>2026-06</v>
      </c>
    </row>
    <row r="5">
      <c r="A5" s="8" t="inlineStr">
        <is>
          <t>MOV0004</t>
        </is>
      </c>
      <c r="B5" s="13" t="n">
        <v>46176</v>
      </c>
      <c r="C5" s="8" t="inlineStr">
        <is>
          <t>MAT018</t>
        </is>
      </c>
      <c r="D5" s="8" t="inlineStr">
        <is>
          <t>Chave Combinada 17 mm</t>
        </is>
      </c>
      <c r="E5" s="8" t="inlineStr">
        <is>
          <t>Ferramentas</t>
        </is>
      </c>
      <c r="F5" s="11" t="n">
        <v>1</v>
      </c>
      <c r="G5" s="8" t="inlineStr">
        <is>
          <t>UN</t>
        </is>
      </c>
      <c r="H5" s="9" t="n">
        <v>24</v>
      </c>
      <c r="I5" s="8" t="inlineStr">
        <is>
          <t>MANUTENCAO</t>
        </is>
      </c>
      <c r="J5" s="8" t="inlineStr">
        <is>
          <t>Consumo</t>
        </is>
      </c>
      <c r="K5" s="9">
        <f>ROUND(tbConsumo[[#This Row],[Quantidade]]*tbConsumo[[#This Row],[Custo_Unitario]],2)</f>
        <v>24</v>
      </c>
      <c r="L5" s="11" t="str">
        <f>YEAR(tbConsumo[[#This Row],[Data]])&amp;"-"&amp;TEXT(MONTH(tbConsumo[[#This Row],[Data]]),"00")</f>
        <v>2026-06</v>
      </c>
    </row>
    <row r="6">
      <c r="A6" s="8" t="inlineStr">
        <is>
          <t>MOV0005</t>
        </is>
      </c>
      <c r="B6" s="13" t="n">
        <v>46176</v>
      </c>
      <c r="C6" s="8" t="inlineStr">
        <is>
          <t>MAT001</t>
        </is>
      </c>
      <c r="D6" s="8" t="inlineStr">
        <is>
          <t>Disco de Desbaste 7 pol</t>
        </is>
      </c>
      <c r="E6" s="8" t="inlineStr">
        <is>
          <t>Abrasivos</t>
        </is>
      </c>
      <c r="F6" s="11" t="n">
        <v>10</v>
      </c>
      <c r="G6" s="8" t="inlineStr">
        <is>
          <t>UN</t>
        </is>
      </c>
      <c r="H6" s="9" t="n">
        <v>9.800000000000001</v>
      </c>
      <c r="I6" s="8" t="inlineStr">
        <is>
          <t>MANUTENCAO</t>
        </is>
      </c>
      <c r="J6" s="8" t="inlineStr">
        <is>
          <t>Consumo</t>
        </is>
      </c>
      <c r="K6" s="9">
        <f>ROUND(tbConsumo[[#This Row],[Quantidade]]*tbConsumo[[#This Row],[Custo_Unitario]],2)</f>
        <v>98</v>
      </c>
      <c r="L6" s="11" t="str">
        <f>YEAR(tbConsumo[[#This Row],[Data]])&amp;"-"&amp;TEXT(MONTH(tbConsumo[[#This Row],[Data]]),"00")</f>
        <v>2026-06</v>
      </c>
    </row>
    <row r="7">
      <c r="A7" s="8" t="inlineStr">
        <is>
          <t>MOV0006</t>
        </is>
      </c>
      <c r="B7" s="13" t="n">
        <v>46177</v>
      </c>
      <c r="C7" s="8" t="inlineStr">
        <is>
          <t>MAT003</t>
        </is>
      </c>
      <c r="D7" s="8" t="inlineStr">
        <is>
          <t>Lixa de Ferro Grão 80</t>
        </is>
      </c>
      <c r="E7" s="8" t="inlineStr">
        <is>
          <t>Abrasivos</t>
        </is>
      </c>
      <c r="F7" s="11" t="n">
        <v>1</v>
      </c>
      <c r="G7" s="8" t="inlineStr">
        <is>
          <t>PCT</t>
        </is>
      </c>
      <c r="H7" s="9" t="n">
        <v>38</v>
      </c>
      <c r="I7" s="8" t="inlineStr">
        <is>
          <t>SOLDAGEM</t>
        </is>
      </c>
      <c r="J7" s="8" t="inlineStr">
        <is>
          <t>Consumo</t>
        </is>
      </c>
      <c r="K7" s="9">
        <f>ROUND(tbConsumo[[#This Row],[Quantidade]]*tbConsumo[[#This Row],[Custo_Unitario]],2)</f>
        <v>38</v>
      </c>
      <c r="L7" s="11" t="str">
        <f>YEAR(tbConsumo[[#This Row],[Data]])&amp;"-"&amp;TEXT(MONTH(tbConsumo[[#This Row],[Data]]),"00")</f>
        <v>2026-06</v>
      </c>
    </row>
    <row r="8">
      <c r="A8" s="8" t="inlineStr">
        <is>
          <t>MOV0007</t>
        </is>
      </c>
      <c r="B8" s="13" t="n">
        <v>46177</v>
      </c>
      <c r="C8" s="8" t="inlineStr">
        <is>
          <t>MAT012</t>
        </is>
      </c>
      <c r="D8" s="8" t="inlineStr">
        <is>
          <t>Fita Isolante 19 mm</t>
        </is>
      </c>
      <c r="E8" s="8" t="inlineStr">
        <is>
          <t>Elétrica</t>
        </is>
      </c>
      <c r="F8" s="11" t="n">
        <v>2</v>
      </c>
      <c r="G8" s="8" t="inlineStr">
        <is>
          <t>PCT</t>
        </is>
      </c>
      <c r="H8" s="9" t="n">
        <v>42</v>
      </c>
      <c r="I8" s="8" t="inlineStr">
        <is>
          <t>ELETRICA</t>
        </is>
      </c>
      <c r="J8" s="8" t="inlineStr">
        <is>
          <t>Consumo</t>
        </is>
      </c>
      <c r="K8" s="9">
        <f>ROUND(tbConsumo[[#This Row],[Quantidade]]*tbConsumo[[#This Row],[Custo_Unitario]],2)</f>
        <v>84</v>
      </c>
      <c r="L8" s="11" t="str">
        <f>YEAR(tbConsumo[[#This Row],[Data]])&amp;"-"&amp;TEXT(MONTH(tbConsumo[[#This Row],[Data]]),"00")</f>
        <v>2026-06</v>
      </c>
    </row>
    <row r="9">
      <c r="A9" s="8" t="inlineStr">
        <is>
          <t>MOV0008</t>
        </is>
      </c>
      <c r="B9" s="13" t="n">
        <v>46177</v>
      </c>
      <c r="C9" s="8" t="inlineStr">
        <is>
          <t>MAT001</t>
        </is>
      </c>
      <c r="D9" s="8" t="inlineStr">
        <is>
          <t>Disco de Desbaste 7 pol</t>
        </is>
      </c>
      <c r="E9" s="8" t="inlineStr">
        <is>
          <t>Abrasivos</t>
        </is>
      </c>
      <c r="F9" s="11" t="n">
        <v>15</v>
      </c>
      <c r="G9" s="8" t="inlineStr">
        <is>
          <t>UN</t>
        </is>
      </c>
      <c r="H9" s="9" t="n">
        <v>9.800000000000001</v>
      </c>
      <c r="I9" s="8" t="inlineStr">
        <is>
          <t>MANUTENCAO</t>
        </is>
      </c>
      <c r="J9" s="8" t="inlineStr">
        <is>
          <t>Consumo</t>
        </is>
      </c>
      <c r="K9" s="9">
        <f>ROUND(tbConsumo[[#This Row],[Quantidade]]*tbConsumo[[#This Row],[Custo_Unitario]],2)</f>
        <v>147</v>
      </c>
      <c r="L9" s="11" t="str">
        <f>YEAR(tbConsumo[[#This Row],[Data]])&amp;"-"&amp;TEXT(MONTH(tbConsumo[[#This Row],[Data]]),"00")</f>
        <v>2026-06</v>
      </c>
    </row>
    <row r="10">
      <c r="A10" s="8" t="inlineStr">
        <is>
          <t>MOV0009</t>
        </is>
      </c>
      <c r="B10" s="13" t="n">
        <v>46177</v>
      </c>
      <c r="C10" s="8" t="inlineStr">
        <is>
          <t>MAT018</t>
        </is>
      </c>
      <c r="D10" s="8" t="inlineStr">
        <is>
          <t>Chave Combinada 17 mm</t>
        </is>
      </c>
      <c r="E10" s="8" t="inlineStr">
        <is>
          <t>Ferramentas</t>
        </is>
      </c>
      <c r="F10" s="11" t="n">
        <v>2</v>
      </c>
      <c r="G10" s="8" t="inlineStr">
        <is>
          <t>UN</t>
        </is>
      </c>
      <c r="H10" s="9" t="n">
        <v>24</v>
      </c>
      <c r="I10" s="8" t="inlineStr">
        <is>
          <t>MANUTENCAO</t>
        </is>
      </c>
      <c r="J10" s="8" t="inlineStr">
        <is>
          <t>Consumo</t>
        </is>
      </c>
      <c r="K10" s="9">
        <f>ROUND(tbConsumo[[#This Row],[Quantidade]]*tbConsumo[[#This Row],[Custo_Unitario]],2)</f>
        <v>48</v>
      </c>
      <c r="L10" s="11" t="str">
        <f>YEAR(tbConsumo[[#This Row],[Data]])&amp;"-"&amp;TEXT(MONTH(tbConsumo[[#This Row],[Data]]),"00")</f>
        <v>2026-06</v>
      </c>
    </row>
    <row r="11">
      <c r="A11" s="8" t="inlineStr">
        <is>
          <t>MOV0010</t>
        </is>
      </c>
      <c r="B11" s="13" t="n">
        <v>46177</v>
      </c>
      <c r="C11" s="8" t="inlineStr">
        <is>
          <t>MAT017</t>
        </is>
      </c>
      <c r="D11" s="8" t="inlineStr">
        <is>
          <t>Máscara Respiratória PFF2</t>
        </is>
      </c>
      <c r="E11" s="8" t="inlineStr">
        <is>
          <t>EPI</t>
        </is>
      </c>
      <c r="F11" s="11" t="n">
        <v>3</v>
      </c>
      <c r="G11" s="8" t="inlineStr">
        <is>
          <t>CX</t>
        </is>
      </c>
      <c r="H11" s="9" t="n">
        <v>72</v>
      </c>
      <c r="I11" s="8" t="inlineStr">
        <is>
          <t>FABRICACAO</t>
        </is>
      </c>
      <c r="J11" s="8" t="inlineStr">
        <is>
          <t>Consumo</t>
        </is>
      </c>
      <c r="K11" s="9">
        <f>ROUND(tbConsumo[[#This Row],[Quantidade]]*tbConsumo[[#This Row],[Custo_Unitario]],2)</f>
        <v>216</v>
      </c>
      <c r="L11" s="11" t="str">
        <f>YEAR(tbConsumo[[#This Row],[Data]])&amp;"-"&amp;TEXT(MONTH(tbConsumo[[#This Row],[Data]]),"00")</f>
        <v>2026-06</v>
      </c>
    </row>
    <row r="12">
      <c r="A12" s="8" t="inlineStr">
        <is>
          <t>MOV0011</t>
        </is>
      </c>
      <c r="B12" s="13" t="n">
        <v>46178</v>
      </c>
      <c r="C12" s="8" t="inlineStr">
        <is>
          <t>MAT011</t>
        </is>
      </c>
      <c r="D12" s="8" t="inlineStr">
        <is>
          <t>Cabo Flexível 2,5 mm² Rolo</t>
        </is>
      </c>
      <c r="E12" s="8" t="inlineStr">
        <is>
          <t>Elétrica</t>
        </is>
      </c>
      <c r="F12" s="11" t="n">
        <v>1</v>
      </c>
      <c r="G12" s="8" t="inlineStr">
        <is>
          <t>UN</t>
        </is>
      </c>
      <c r="H12" s="9" t="n">
        <v>285</v>
      </c>
      <c r="I12" s="8" t="inlineStr">
        <is>
          <t>FABRICACAO</t>
        </is>
      </c>
      <c r="J12" s="8" t="inlineStr">
        <is>
          <t>Consumo</t>
        </is>
      </c>
      <c r="K12" s="9">
        <f>ROUND(tbConsumo[[#This Row],[Quantidade]]*tbConsumo[[#This Row],[Custo_Unitario]],2)</f>
        <v>285</v>
      </c>
      <c r="L12" s="11" t="str">
        <f>YEAR(tbConsumo[[#This Row],[Data]])&amp;"-"&amp;TEXT(MONTH(tbConsumo[[#This Row],[Data]]),"00")</f>
        <v>2026-06</v>
      </c>
    </row>
    <row r="13">
      <c r="A13" s="8" t="inlineStr">
        <is>
          <t>MOV0012</t>
        </is>
      </c>
      <c r="B13" s="13" t="n">
        <v>46178</v>
      </c>
      <c r="C13" s="8" t="inlineStr">
        <is>
          <t>MAT004</t>
        </is>
      </c>
      <c r="D13" s="8" t="inlineStr">
        <is>
          <t>Bico de Contato MIG 1,0 mm</t>
        </is>
      </c>
      <c r="E13" s="8" t="inlineStr">
        <is>
          <t>Soldagem</t>
        </is>
      </c>
      <c r="F13" s="11" t="n">
        <v>2</v>
      </c>
      <c r="G13" s="8" t="inlineStr">
        <is>
          <t>PCT</t>
        </is>
      </c>
      <c r="H13" s="9" t="n">
        <v>45</v>
      </c>
      <c r="I13" s="8" t="inlineStr">
        <is>
          <t>MECANICA</t>
        </is>
      </c>
      <c r="J13" s="8" t="inlineStr">
        <is>
          <t>Consumo</t>
        </is>
      </c>
      <c r="K13" s="9">
        <f>ROUND(tbConsumo[[#This Row],[Quantidade]]*tbConsumo[[#This Row],[Custo_Unitario]],2)</f>
        <v>90</v>
      </c>
      <c r="L13" s="11" t="str">
        <f>YEAR(tbConsumo[[#This Row],[Data]])&amp;"-"&amp;TEXT(MONTH(tbConsumo[[#This Row],[Data]]),"00")</f>
        <v>2026-06</v>
      </c>
    </row>
    <row r="14">
      <c r="A14" s="8" t="inlineStr">
        <is>
          <t>MOV0013</t>
        </is>
      </c>
      <c r="B14" s="13" t="n">
        <v>46179</v>
      </c>
      <c r="C14" s="8" t="inlineStr">
        <is>
          <t>MAT001</t>
        </is>
      </c>
      <c r="D14" s="8" t="inlineStr">
        <is>
          <t>Disco de Desbaste 7 pol</t>
        </is>
      </c>
      <c r="E14" s="8" t="inlineStr">
        <is>
          <t>Abrasivos</t>
        </is>
      </c>
      <c r="F14" s="11" t="n">
        <v>6</v>
      </c>
      <c r="G14" s="8" t="inlineStr">
        <is>
          <t>UN</t>
        </is>
      </c>
      <c r="H14" s="9" t="n">
        <v>9.800000000000001</v>
      </c>
      <c r="I14" s="8" t="inlineStr">
        <is>
          <t>MANUTENCAO</t>
        </is>
      </c>
      <c r="J14" s="8" t="inlineStr">
        <is>
          <t>Consumo</t>
        </is>
      </c>
      <c r="K14" s="9">
        <f>ROUND(tbConsumo[[#This Row],[Quantidade]]*tbConsumo[[#This Row],[Custo_Unitario]],2)</f>
        <v>58.8</v>
      </c>
      <c r="L14" s="11" t="str">
        <f>YEAR(tbConsumo[[#This Row],[Data]])&amp;"-"&amp;TEXT(MONTH(tbConsumo[[#This Row],[Data]]),"00")</f>
        <v>2026-06</v>
      </c>
    </row>
    <row r="15">
      <c r="A15" s="8" t="inlineStr">
        <is>
          <t>MOV0014</t>
        </is>
      </c>
      <c r="B15" s="13" t="n">
        <v>46181</v>
      </c>
      <c r="C15" s="8" t="inlineStr">
        <is>
          <t>MAT015</t>
        </is>
      </c>
      <c r="D15" s="8" t="inlineStr">
        <is>
          <t>Luva de Raspa</t>
        </is>
      </c>
      <c r="E15" s="8" t="inlineStr">
        <is>
          <t>EPI</t>
        </is>
      </c>
      <c r="F15" s="11" t="n">
        <v>8</v>
      </c>
      <c r="G15" s="8" t="inlineStr">
        <is>
          <t>PAR</t>
        </is>
      </c>
      <c r="H15" s="9" t="n">
        <v>15</v>
      </c>
      <c r="I15" s="8" t="inlineStr">
        <is>
          <t>SOLDAGEM</t>
        </is>
      </c>
      <c r="J15" s="8" t="inlineStr">
        <is>
          <t>Consumo</t>
        </is>
      </c>
      <c r="K15" s="9">
        <f>ROUND(tbConsumo[[#This Row],[Quantidade]]*tbConsumo[[#This Row],[Custo_Unitario]],2)</f>
        <v>120</v>
      </c>
      <c r="L15" s="11" t="str">
        <f>YEAR(tbConsumo[[#This Row],[Data]])&amp;"-"&amp;TEXT(MONTH(tbConsumo[[#This Row],[Data]]),"00")</f>
        <v>2026-06</v>
      </c>
    </row>
    <row r="16">
      <c r="A16" s="8" t="inlineStr">
        <is>
          <t>MOV0015</t>
        </is>
      </c>
      <c r="B16" s="13" t="n">
        <v>46181</v>
      </c>
      <c r="C16" s="8" t="inlineStr">
        <is>
          <t>MAT012</t>
        </is>
      </c>
      <c r="D16" s="8" t="inlineStr">
        <is>
          <t>Fita Isolante 19 mm</t>
        </is>
      </c>
      <c r="E16" s="8" t="inlineStr">
        <is>
          <t>Elétrica</t>
        </is>
      </c>
      <c r="F16" s="11" t="n">
        <v>1</v>
      </c>
      <c r="G16" s="8" t="inlineStr">
        <is>
          <t>PCT</t>
        </is>
      </c>
      <c r="H16" s="9" t="n">
        <v>42</v>
      </c>
      <c r="I16" s="8" t="inlineStr">
        <is>
          <t>ELETRICA</t>
        </is>
      </c>
      <c r="J16" s="8" t="inlineStr">
        <is>
          <t>Consumo</t>
        </is>
      </c>
      <c r="K16" s="9">
        <f>ROUND(tbConsumo[[#This Row],[Quantidade]]*tbConsumo[[#This Row],[Custo_Unitario]],2)</f>
        <v>42</v>
      </c>
      <c r="L16" s="11" t="str">
        <f>YEAR(tbConsumo[[#This Row],[Data]])&amp;"-"&amp;TEXT(MONTH(tbConsumo[[#This Row],[Data]]),"00")</f>
        <v>2026-06</v>
      </c>
    </row>
    <row r="17">
      <c r="A17" s="8" t="inlineStr">
        <is>
          <t>MOV0016</t>
        </is>
      </c>
      <c r="B17" s="13" t="n">
        <v>46181</v>
      </c>
      <c r="C17" s="8" t="inlineStr">
        <is>
          <t>MAT016</t>
        </is>
      </c>
      <c r="D17" s="8" t="inlineStr">
        <is>
          <t>Óculos de Proteção Incolor</t>
        </is>
      </c>
      <c r="E17" s="8" t="inlineStr">
        <is>
          <t>EPI</t>
        </is>
      </c>
      <c r="F17" s="11" t="n">
        <v>8</v>
      </c>
      <c r="G17" s="8" t="inlineStr">
        <is>
          <t>UN</t>
        </is>
      </c>
      <c r="H17" s="9" t="n">
        <v>6.5</v>
      </c>
      <c r="I17" s="8" t="inlineStr">
        <is>
          <t>MECANICA</t>
        </is>
      </c>
      <c r="J17" s="8" t="inlineStr">
        <is>
          <t>Consumo</t>
        </is>
      </c>
      <c r="K17" s="9">
        <f>ROUND(tbConsumo[[#This Row],[Quantidade]]*tbConsumo[[#This Row],[Custo_Unitario]],2)</f>
        <v>52</v>
      </c>
      <c r="L17" s="11" t="str">
        <f>YEAR(tbConsumo[[#This Row],[Data]])&amp;"-"&amp;TEXT(MONTH(tbConsumo[[#This Row],[Data]]),"00")</f>
        <v>2026-06</v>
      </c>
    </row>
    <row r="18">
      <c r="A18" s="8" t="inlineStr">
        <is>
          <t>MOV0017</t>
        </is>
      </c>
      <c r="B18" s="13" t="n">
        <v>46182</v>
      </c>
      <c r="C18" s="8" t="inlineStr">
        <is>
          <t>MAT015</t>
        </is>
      </c>
      <c r="D18" s="8" t="inlineStr">
        <is>
          <t>Luva de Raspa</t>
        </is>
      </c>
      <c r="E18" s="8" t="inlineStr">
        <is>
          <t>EPI</t>
        </is>
      </c>
      <c r="F18" s="11" t="n">
        <v>4</v>
      </c>
      <c r="G18" s="8" t="inlineStr">
        <is>
          <t>PAR</t>
        </is>
      </c>
      <c r="H18" s="9" t="n">
        <v>15</v>
      </c>
      <c r="I18" s="8" t="inlineStr">
        <is>
          <t>MANUTENCAO</t>
        </is>
      </c>
      <c r="J18" s="8" t="inlineStr">
        <is>
          <t>Consumo</t>
        </is>
      </c>
      <c r="K18" s="9">
        <f>ROUND(tbConsumo[[#This Row],[Quantidade]]*tbConsumo[[#This Row],[Custo_Unitario]],2)</f>
        <v>60</v>
      </c>
      <c r="L18" s="11" t="str">
        <f>YEAR(tbConsumo[[#This Row],[Data]])&amp;"-"&amp;TEXT(MONTH(tbConsumo[[#This Row],[Data]]),"00")</f>
        <v>2026-06</v>
      </c>
    </row>
    <row r="19">
      <c r="A19" s="8" t="inlineStr">
        <is>
          <t>MOV0018</t>
        </is>
      </c>
      <c r="B19" s="13" t="n">
        <v>46182</v>
      </c>
      <c r="C19" s="8" t="inlineStr">
        <is>
          <t>MAT015</t>
        </is>
      </c>
      <c r="D19" s="8" t="inlineStr">
        <is>
          <t>Luva de Raspa</t>
        </is>
      </c>
      <c r="E19" s="8" t="inlineStr">
        <is>
          <t>EPI</t>
        </is>
      </c>
      <c r="F19" s="11" t="n">
        <v>8</v>
      </c>
      <c r="G19" s="8" t="inlineStr">
        <is>
          <t>PAR</t>
        </is>
      </c>
      <c r="H19" s="9" t="n">
        <v>15</v>
      </c>
      <c r="I19" s="8" t="inlineStr">
        <is>
          <t>MANUTENCAO</t>
        </is>
      </c>
      <c r="J19" s="8" t="inlineStr">
        <is>
          <t>Consumo</t>
        </is>
      </c>
      <c r="K19" s="9">
        <f>ROUND(tbConsumo[[#This Row],[Quantidade]]*tbConsumo[[#This Row],[Custo_Unitario]],2)</f>
        <v>120</v>
      </c>
      <c r="L19" s="11" t="str">
        <f>YEAR(tbConsumo[[#This Row],[Data]])&amp;"-"&amp;TEXT(MONTH(tbConsumo[[#This Row],[Data]]),"00")</f>
        <v>2026-06</v>
      </c>
    </row>
    <row r="20">
      <c r="A20" s="8" t="inlineStr">
        <is>
          <t>MOV0019</t>
        </is>
      </c>
      <c r="B20" s="13" t="n">
        <v>46182</v>
      </c>
      <c r="C20" s="8" t="inlineStr">
        <is>
          <t>MAT013</t>
        </is>
      </c>
      <c r="D20" s="8" t="inlineStr">
        <is>
          <t>Terminal de Compressão 6 mm²</t>
        </is>
      </c>
      <c r="E20" s="8" t="inlineStr">
        <is>
          <t>Elétrica</t>
        </is>
      </c>
      <c r="F20" s="11" t="n">
        <v>2</v>
      </c>
      <c r="G20" s="8" t="inlineStr">
        <is>
          <t>PCT</t>
        </is>
      </c>
      <c r="H20" s="9" t="n">
        <v>28</v>
      </c>
      <c r="I20" s="8" t="inlineStr">
        <is>
          <t>SOLDAGEM</t>
        </is>
      </c>
      <c r="J20" s="8" t="inlineStr">
        <is>
          <t>Consumo</t>
        </is>
      </c>
      <c r="K20" s="9">
        <f>ROUND(tbConsumo[[#This Row],[Quantidade]]*tbConsumo[[#This Row],[Custo_Unitario]],2)</f>
        <v>56</v>
      </c>
      <c r="L20" s="11" t="str">
        <f>YEAR(tbConsumo[[#This Row],[Data]])&amp;"-"&amp;TEXT(MONTH(tbConsumo[[#This Row],[Data]]),"00")</f>
        <v>2026-06</v>
      </c>
    </row>
    <row r="21">
      <c r="A21" s="8" t="inlineStr">
        <is>
          <t>MOV0020</t>
        </is>
      </c>
      <c r="B21" s="13" t="n">
        <v>46182</v>
      </c>
      <c r="C21" s="8" t="inlineStr">
        <is>
          <t>MAT007</t>
        </is>
      </c>
      <c r="D21" s="8" t="inlineStr">
        <is>
          <t>Disco de Corte 7 pol</t>
        </is>
      </c>
      <c r="E21" s="8" t="inlineStr">
        <is>
          <t>Corte</t>
        </is>
      </c>
      <c r="F21" s="11" t="n">
        <v>31</v>
      </c>
      <c r="G21" s="8" t="inlineStr">
        <is>
          <t>UN</t>
        </is>
      </c>
      <c r="H21" s="9" t="n">
        <v>12.5</v>
      </c>
      <c r="I21" s="8" t="inlineStr">
        <is>
          <t>FABRICACAO</t>
        </is>
      </c>
      <c r="J21" s="8" t="inlineStr">
        <is>
          <t>Consumo</t>
        </is>
      </c>
      <c r="K21" s="9">
        <f>ROUND(tbConsumo[[#This Row],[Quantidade]]*tbConsumo[[#This Row],[Custo_Unitario]],2)</f>
        <v>387.5</v>
      </c>
      <c r="L21" s="11" t="str">
        <f>YEAR(tbConsumo[[#This Row],[Data]])&amp;"-"&amp;TEXT(MONTH(tbConsumo[[#This Row],[Data]]),"00")</f>
        <v>2026-06</v>
      </c>
    </row>
    <row r="22">
      <c r="A22" s="8" t="inlineStr">
        <is>
          <t>MOV0021</t>
        </is>
      </c>
      <c r="B22" s="13" t="n">
        <v>46182</v>
      </c>
      <c r="C22" s="8" t="inlineStr">
        <is>
          <t>MAT013</t>
        </is>
      </c>
      <c r="D22" s="8" t="inlineStr">
        <is>
          <t>Terminal de Compressão 6 mm²</t>
        </is>
      </c>
      <c r="E22" s="8" t="inlineStr">
        <is>
          <t>Elétrica</t>
        </is>
      </c>
      <c r="F22" s="11" t="n">
        <v>3</v>
      </c>
      <c r="G22" s="8" t="inlineStr">
        <is>
          <t>PCT</t>
        </is>
      </c>
      <c r="H22" s="9" t="n">
        <v>28</v>
      </c>
      <c r="I22" s="8" t="inlineStr">
        <is>
          <t>ELETRICA</t>
        </is>
      </c>
      <c r="J22" s="8" t="inlineStr">
        <is>
          <t>Consumo</t>
        </is>
      </c>
      <c r="K22" s="9">
        <f>ROUND(tbConsumo[[#This Row],[Quantidade]]*tbConsumo[[#This Row],[Custo_Unitario]],2)</f>
        <v>84</v>
      </c>
      <c r="L22" s="11" t="str">
        <f>YEAR(tbConsumo[[#This Row],[Data]])&amp;"-"&amp;TEXT(MONTH(tbConsumo[[#This Row],[Data]]),"00")</f>
        <v>2026-06</v>
      </c>
    </row>
    <row r="23">
      <c r="A23" s="8" t="inlineStr">
        <is>
          <t>MOV0022</t>
        </is>
      </c>
      <c r="B23" s="13" t="n">
        <v>46182</v>
      </c>
      <c r="C23" s="8" t="inlineStr">
        <is>
          <t>MAT001</t>
        </is>
      </c>
      <c r="D23" s="8" t="inlineStr">
        <is>
          <t>Disco de Desbaste 7 pol</t>
        </is>
      </c>
      <c r="E23" s="8" t="inlineStr">
        <is>
          <t>Abrasivos</t>
        </is>
      </c>
      <c r="F23" s="11" t="n">
        <v>15</v>
      </c>
      <c r="G23" s="8" t="inlineStr">
        <is>
          <t>UN</t>
        </is>
      </c>
      <c r="H23" s="9" t="n">
        <v>9.800000000000001</v>
      </c>
      <c r="I23" s="8" t="inlineStr">
        <is>
          <t>SOLDAGEM</t>
        </is>
      </c>
      <c r="J23" s="8" t="inlineStr">
        <is>
          <t>Consumo</t>
        </is>
      </c>
      <c r="K23" s="9">
        <f>ROUND(tbConsumo[[#This Row],[Quantidade]]*tbConsumo[[#This Row],[Custo_Unitario]],2)</f>
        <v>147</v>
      </c>
      <c r="L23" s="11" t="str">
        <f>YEAR(tbConsumo[[#This Row],[Data]])&amp;"-"&amp;TEXT(MONTH(tbConsumo[[#This Row],[Data]]),"00")</f>
        <v>2026-06</v>
      </c>
    </row>
    <row r="24">
      <c r="A24" s="8" t="inlineStr">
        <is>
          <t>MOV0023</t>
        </is>
      </c>
      <c r="B24" s="13" t="n">
        <v>46183</v>
      </c>
      <c r="C24" s="8" t="inlineStr">
        <is>
          <t>MAT008</t>
        </is>
      </c>
      <c r="D24" s="8" t="inlineStr">
        <is>
          <t>Disco de Corte 4,5 pol</t>
        </is>
      </c>
      <c r="E24" s="8" t="inlineStr">
        <is>
          <t>Corte</t>
        </is>
      </c>
      <c r="F24" s="11" t="n">
        <v>32</v>
      </c>
      <c r="G24" s="8" t="inlineStr">
        <is>
          <t>UN</t>
        </is>
      </c>
      <c r="H24" s="9" t="n">
        <v>5.9</v>
      </c>
      <c r="I24" s="8" t="inlineStr">
        <is>
          <t>MANUTENCAO</t>
        </is>
      </c>
      <c r="J24" s="8" t="inlineStr">
        <is>
          <t>Consumo</t>
        </is>
      </c>
      <c r="K24" s="9">
        <f>ROUND(tbConsumo[[#This Row],[Quantidade]]*tbConsumo[[#This Row],[Custo_Unitario]],2)</f>
        <v>188.8</v>
      </c>
      <c r="L24" s="11" t="str">
        <f>YEAR(tbConsumo[[#This Row],[Data]])&amp;"-"&amp;TEXT(MONTH(tbConsumo[[#This Row],[Data]]),"00")</f>
        <v>2026-06</v>
      </c>
    </row>
    <row r="25">
      <c r="A25" s="8" t="inlineStr">
        <is>
          <t>MOV0024</t>
        </is>
      </c>
      <c r="B25" s="13" t="n">
        <v>46184</v>
      </c>
      <c r="C25" s="8" t="inlineStr">
        <is>
          <t>MAT009</t>
        </is>
      </c>
      <c r="D25" s="8" t="inlineStr">
        <is>
          <t>Serra Copo 51 mm</t>
        </is>
      </c>
      <c r="E25" s="8" t="inlineStr">
        <is>
          <t>Corte</t>
        </is>
      </c>
      <c r="F25" s="11" t="n">
        <v>1</v>
      </c>
      <c r="G25" s="8" t="inlineStr">
        <is>
          <t>UN</t>
        </is>
      </c>
      <c r="H25" s="9" t="n">
        <v>46</v>
      </c>
      <c r="I25" s="8" t="inlineStr">
        <is>
          <t>FABRICACAO</t>
        </is>
      </c>
      <c r="J25" s="8" t="inlineStr">
        <is>
          <t>Consumo</t>
        </is>
      </c>
      <c r="K25" s="9">
        <f>ROUND(tbConsumo[[#This Row],[Quantidade]]*tbConsumo[[#This Row],[Custo_Unitario]],2)</f>
        <v>46</v>
      </c>
      <c r="L25" s="11" t="str">
        <f>YEAR(tbConsumo[[#This Row],[Data]])&amp;"-"&amp;TEXT(MONTH(tbConsumo[[#This Row],[Data]]),"00")</f>
        <v>2026-06</v>
      </c>
    </row>
    <row r="26">
      <c r="A26" s="8" t="inlineStr">
        <is>
          <t>MOV0025</t>
        </is>
      </c>
      <c r="B26" s="13" t="n">
        <v>46184</v>
      </c>
      <c r="C26" s="8" t="inlineStr">
        <is>
          <t>MAT008</t>
        </is>
      </c>
      <c r="D26" s="8" t="inlineStr">
        <is>
          <t>Disco de Corte 4,5 pol</t>
        </is>
      </c>
      <c r="E26" s="8" t="inlineStr">
        <is>
          <t>Corte</t>
        </is>
      </c>
      <c r="F26" s="11" t="n">
        <v>29</v>
      </c>
      <c r="G26" s="8" t="inlineStr">
        <is>
          <t>UN</t>
        </is>
      </c>
      <c r="H26" s="9" t="n">
        <v>5.9</v>
      </c>
      <c r="I26" s="8" t="inlineStr">
        <is>
          <t>MANUTENCAO</t>
        </is>
      </c>
      <c r="J26" s="8" t="inlineStr">
        <is>
          <t>Consumo</t>
        </is>
      </c>
      <c r="K26" s="9">
        <f>ROUND(tbConsumo[[#This Row],[Quantidade]]*tbConsumo[[#This Row],[Custo_Unitario]],2)</f>
        <v>171.1</v>
      </c>
      <c r="L26" s="11" t="str">
        <f>YEAR(tbConsumo[[#This Row],[Data]])&amp;"-"&amp;TEXT(MONTH(tbConsumo[[#This Row],[Data]]),"00")</f>
        <v>2026-06</v>
      </c>
    </row>
    <row r="27">
      <c r="A27" s="8" t="inlineStr">
        <is>
          <t>MOV0026</t>
        </is>
      </c>
      <c r="B27" s="13" t="n">
        <v>46184</v>
      </c>
      <c r="C27" s="8" t="inlineStr">
        <is>
          <t>MAT001</t>
        </is>
      </c>
      <c r="D27" s="8" t="inlineStr">
        <is>
          <t>Disco de Desbaste 7 pol</t>
        </is>
      </c>
      <c r="E27" s="8" t="inlineStr">
        <is>
          <t>Abrasivos</t>
        </is>
      </c>
      <c r="F27" s="11" t="n">
        <v>30</v>
      </c>
      <c r="G27" s="8" t="inlineStr">
        <is>
          <t>UN</t>
        </is>
      </c>
      <c r="H27" s="9" t="n">
        <v>9.800000000000001</v>
      </c>
      <c r="I27" s="8" t="inlineStr">
        <is>
          <t>FABRICACAO</t>
        </is>
      </c>
      <c r="J27" s="8" t="inlineStr">
        <is>
          <t>Consumo</t>
        </is>
      </c>
      <c r="K27" s="9">
        <f>ROUND(tbConsumo[[#This Row],[Quantidade]]*tbConsumo[[#This Row],[Custo_Unitario]],2)</f>
        <v>294</v>
      </c>
      <c r="L27" s="11" t="str">
        <f>YEAR(tbConsumo[[#This Row],[Data]])&amp;"-"&amp;TEXT(MONTH(tbConsumo[[#This Row],[Data]]),"00")</f>
        <v>2026-06</v>
      </c>
    </row>
    <row r="28">
      <c r="A28" s="8" t="inlineStr">
        <is>
          <t>MOV0027</t>
        </is>
      </c>
      <c r="B28" s="13" t="n">
        <v>46185</v>
      </c>
      <c r="C28" s="8" t="inlineStr">
        <is>
          <t>MAT005</t>
        </is>
      </c>
      <c r="D28" s="8" t="inlineStr">
        <is>
          <t>Eletrodo Revestido 2,5 mm</t>
        </is>
      </c>
      <c r="E28" s="8" t="inlineStr">
        <is>
          <t>Soldagem</t>
        </is>
      </c>
      <c r="F28" s="11" t="n">
        <v>2</v>
      </c>
      <c r="G28" s="8" t="inlineStr">
        <is>
          <t>CX</t>
        </is>
      </c>
      <c r="H28" s="9" t="n">
        <v>96</v>
      </c>
      <c r="I28" s="8" t="inlineStr">
        <is>
          <t>SOLDAGEM</t>
        </is>
      </c>
      <c r="J28" s="8" t="inlineStr">
        <is>
          <t>Consumo</t>
        </is>
      </c>
      <c r="K28" s="9">
        <f>ROUND(tbConsumo[[#This Row],[Quantidade]]*tbConsumo[[#This Row],[Custo_Unitario]],2)</f>
        <v>192</v>
      </c>
      <c r="L28" s="11" t="str">
        <f>YEAR(tbConsumo[[#This Row],[Data]])&amp;"-"&amp;TEXT(MONTH(tbConsumo[[#This Row],[Data]]),"00")</f>
        <v>2026-06</v>
      </c>
    </row>
    <row r="29">
      <c r="A29" s="8" t="inlineStr">
        <is>
          <t>MOV0028</t>
        </is>
      </c>
      <c r="B29" s="13" t="n">
        <v>46185</v>
      </c>
      <c r="C29" s="8" t="inlineStr">
        <is>
          <t>MAT002</t>
        </is>
      </c>
      <c r="D29" s="8" t="inlineStr">
        <is>
          <t>Disco Flap 4,5 pol Grão 60</t>
        </is>
      </c>
      <c r="E29" s="8" t="inlineStr">
        <is>
          <t>Abrasivos</t>
        </is>
      </c>
      <c r="F29" s="11" t="n">
        <v>29</v>
      </c>
      <c r="G29" s="8" t="inlineStr">
        <is>
          <t>UN</t>
        </is>
      </c>
      <c r="H29" s="9" t="n">
        <v>7.4</v>
      </c>
      <c r="I29" s="8" t="inlineStr">
        <is>
          <t>MANUTENCAO</t>
        </is>
      </c>
      <c r="J29" s="8" t="inlineStr">
        <is>
          <t>Consumo</t>
        </is>
      </c>
      <c r="K29" s="9">
        <f>ROUND(tbConsumo[[#This Row],[Quantidade]]*tbConsumo[[#This Row],[Custo_Unitario]],2)</f>
        <v>214.6</v>
      </c>
      <c r="L29" s="11" t="str">
        <f>YEAR(tbConsumo[[#This Row],[Data]])&amp;"-"&amp;TEXT(MONTH(tbConsumo[[#This Row],[Data]]),"00")</f>
        <v>2026-06</v>
      </c>
    </row>
    <row r="30">
      <c r="A30" s="8" t="inlineStr">
        <is>
          <t>MOV0029</t>
        </is>
      </c>
      <c r="B30" s="13" t="n">
        <v>46186</v>
      </c>
      <c r="C30" s="8" t="inlineStr">
        <is>
          <t>MAT009</t>
        </is>
      </c>
      <c r="D30" s="8" t="inlineStr">
        <is>
          <t>Serra Copo 51 mm</t>
        </is>
      </c>
      <c r="E30" s="8" t="inlineStr">
        <is>
          <t>Corte</t>
        </is>
      </c>
      <c r="F30" s="11" t="n">
        <v>1</v>
      </c>
      <c r="G30" s="8" t="inlineStr">
        <is>
          <t>UN</t>
        </is>
      </c>
      <c r="H30" s="9" t="n">
        <v>46</v>
      </c>
      <c r="I30" s="8" t="inlineStr">
        <is>
          <t>MECANICA</t>
        </is>
      </c>
      <c r="J30" s="8" t="inlineStr">
        <is>
          <t>Consumo</t>
        </is>
      </c>
      <c r="K30" s="9">
        <f>ROUND(tbConsumo[[#This Row],[Quantidade]]*tbConsumo[[#This Row],[Custo_Unitario]],2)</f>
        <v>46</v>
      </c>
      <c r="L30" s="11" t="str">
        <f>YEAR(tbConsumo[[#This Row],[Data]])&amp;"-"&amp;TEXT(MONTH(tbConsumo[[#This Row],[Data]]),"00")</f>
        <v>2026-06</v>
      </c>
    </row>
    <row r="31">
      <c r="A31" s="8" t="inlineStr">
        <is>
          <t>MOV0030</t>
        </is>
      </c>
      <c r="B31" s="13" t="n">
        <v>46186</v>
      </c>
      <c r="C31" s="8" t="inlineStr">
        <is>
          <t>MAT008</t>
        </is>
      </c>
      <c r="D31" s="8" t="inlineStr">
        <is>
          <t>Disco de Corte 4,5 pol</t>
        </is>
      </c>
      <c r="E31" s="8" t="inlineStr">
        <is>
          <t>Corte</t>
        </is>
      </c>
      <c r="F31" s="11" t="n">
        <v>60</v>
      </c>
      <c r="G31" s="8" t="inlineStr">
        <is>
          <t>UN</t>
        </is>
      </c>
      <c r="H31" s="9" t="n">
        <v>5.9</v>
      </c>
      <c r="I31" s="8" t="inlineStr">
        <is>
          <t>SOLDAGEM</t>
        </is>
      </c>
      <c r="J31" s="8" t="inlineStr">
        <is>
          <t>Consumo</t>
        </is>
      </c>
      <c r="K31" s="9">
        <f>ROUND(tbConsumo[[#This Row],[Quantidade]]*tbConsumo[[#This Row],[Custo_Unitario]],2)</f>
        <v>354</v>
      </c>
      <c r="L31" s="11" t="str">
        <f>YEAR(tbConsumo[[#This Row],[Data]])&amp;"-"&amp;TEXT(MONTH(tbConsumo[[#This Row],[Data]]),"00")</f>
        <v>2026-06</v>
      </c>
    </row>
    <row r="32">
      <c r="A32" s="8" t="inlineStr">
        <is>
          <t>MOV0031</t>
        </is>
      </c>
      <c r="B32" s="13" t="n">
        <v>46188</v>
      </c>
      <c r="C32" s="8" t="inlineStr">
        <is>
          <t>MAT015</t>
        </is>
      </c>
      <c r="D32" s="8" t="inlineStr">
        <is>
          <t>Luva de Raspa</t>
        </is>
      </c>
      <c r="E32" s="8" t="inlineStr">
        <is>
          <t>EPI</t>
        </is>
      </c>
      <c r="F32" s="11" t="n">
        <v>2</v>
      </c>
      <c r="G32" s="8" t="inlineStr">
        <is>
          <t>PAR</t>
        </is>
      </c>
      <c r="H32" s="9" t="n">
        <v>15</v>
      </c>
      <c r="I32" s="8" t="inlineStr">
        <is>
          <t>SOLDAGEM</t>
        </is>
      </c>
      <c r="J32" s="8" t="inlineStr">
        <is>
          <t>Consumo</t>
        </is>
      </c>
      <c r="K32" s="9">
        <f>ROUND(tbConsumo[[#This Row],[Quantidade]]*tbConsumo[[#This Row],[Custo_Unitario]],2)</f>
        <v>30</v>
      </c>
      <c r="L32" s="11" t="str">
        <f>YEAR(tbConsumo[[#This Row],[Data]])&amp;"-"&amp;TEXT(MONTH(tbConsumo[[#This Row],[Data]]),"00")</f>
        <v>2026-06</v>
      </c>
    </row>
    <row r="33">
      <c r="A33" s="8" t="inlineStr">
        <is>
          <t>MOV0032</t>
        </is>
      </c>
      <c r="B33" s="13" t="n">
        <v>46188</v>
      </c>
      <c r="C33" s="8" t="inlineStr">
        <is>
          <t>MAT014</t>
        </is>
      </c>
      <c r="D33" s="8" t="inlineStr">
        <is>
          <t>Disjuntor Tripolar 32 A</t>
        </is>
      </c>
      <c r="E33" s="8" t="inlineStr">
        <is>
          <t>Elétrica</t>
        </is>
      </c>
      <c r="F33" s="11" t="n">
        <v>2</v>
      </c>
      <c r="G33" s="8" t="inlineStr">
        <is>
          <t>UN</t>
        </is>
      </c>
      <c r="H33" s="9" t="n">
        <v>118</v>
      </c>
      <c r="I33" s="8" t="inlineStr">
        <is>
          <t>MANUTENCAO</t>
        </is>
      </c>
      <c r="J33" s="8" t="inlineStr">
        <is>
          <t>Consumo</t>
        </is>
      </c>
      <c r="K33" s="9">
        <f>ROUND(tbConsumo[[#This Row],[Quantidade]]*tbConsumo[[#This Row],[Custo_Unitario]],2)</f>
        <v>236</v>
      </c>
      <c r="L33" s="11" t="str">
        <f>YEAR(tbConsumo[[#This Row],[Data]])&amp;"-"&amp;TEXT(MONTH(tbConsumo[[#This Row],[Data]]),"00")</f>
        <v>2026-06</v>
      </c>
    </row>
    <row r="34">
      <c r="A34" s="8" t="inlineStr">
        <is>
          <t>MOV0033</t>
        </is>
      </c>
      <c r="B34" s="13" t="n">
        <v>46188</v>
      </c>
      <c r="C34" s="8" t="inlineStr">
        <is>
          <t>MAT002</t>
        </is>
      </c>
      <c r="D34" s="8" t="inlineStr">
        <is>
          <t>Disco Flap 4,5 pol Grão 60</t>
        </is>
      </c>
      <c r="E34" s="8" t="inlineStr">
        <is>
          <t>Abrasivos</t>
        </is>
      </c>
      <c r="F34" s="11" t="n">
        <v>19</v>
      </c>
      <c r="G34" s="8" t="inlineStr">
        <is>
          <t>UN</t>
        </is>
      </c>
      <c r="H34" s="9" t="n">
        <v>7.4</v>
      </c>
      <c r="I34" s="8" t="inlineStr">
        <is>
          <t>MANUTENCAO</t>
        </is>
      </c>
      <c r="J34" s="8" t="inlineStr">
        <is>
          <t>Consumo</t>
        </is>
      </c>
      <c r="K34" s="9">
        <f>ROUND(tbConsumo[[#This Row],[Quantidade]]*tbConsumo[[#This Row],[Custo_Unitario]],2)</f>
        <v>140.6</v>
      </c>
      <c r="L34" s="11" t="str">
        <f>YEAR(tbConsumo[[#This Row],[Data]])&amp;"-"&amp;TEXT(MONTH(tbConsumo[[#This Row],[Data]]),"00")</f>
        <v>2026-06</v>
      </c>
    </row>
    <row r="35">
      <c r="A35" s="8" t="inlineStr">
        <is>
          <t>MOV0034</t>
        </is>
      </c>
      <c r="B35" s="13" t="n">
        <v>46188</v>
      </c>
      <c r="C35" s="8" t="inlineStr">
        <is>
          <t>MAT016</t>
        </is>
      </c>
      <c r="D35" s="8" t="inlineStr">
        <is>
          <t>Óculos de Proteção Incolor</t>
        </is>
      </c>
      <c r="E35" s="8" t="inlineStr">
        <is>
          <t>EPI</t>
        </is>
      </c>
      <c r="F35" s="11" t="n">
        <v>3</v>
      </c>
      <c r="G35" s="8" t="inlineStr">
        <is>
          <t>UN</t>
        </is>
      </c>
      <c r="H35" s="9" t="n">
        <v>6.5</v>
      </c>
      <c r="I35" s="8" t="inlineStr">
        <is>
          <t>MANUTENCAO</t>
        </is>
      </c>
      <c r="J35" s="8" t="inlineStr">
        <is>
          <t>Consumo</t>
        </is>
      </c>
      <c r="K35" s="9">
        <f>ROUND(tbConsumo[[#This Row],[Quantidade]]*tbConsumo[[#This Row],[Custo_Unitario]],2)</f>
        <v>19.5</v>
      </c>
      <c r="L35" s="11" t="str">
        <f>YEAR(tbConsumo[[#This Row],[Data]])&amp;"-"&amp;TEXT(MONTH(tbConsumo[[#This Row],[Data]]),"00")</f>
        <v>2026-06</v>
      </c>
    </row>
    <row r="36">
      <c r="A36" s="8" t="inlineStr">
        <is>
          <t>MOV0035</t>
        </is>
      </c>
      <c r="B36" s="13" t="n">
        <v>46189</v>
      </c>
      <c r="C36" s="8" t="inlineStr">
        <is>
          <t>MAT007</t>
        </is>
      </c>
      <c r="D36" s="8" t="inlineStr">
        <is>
          <t>Disco de Corte 7 pol</t>
        </is>
      </c>
      <c r="E36" s="8" t="inlineStr">
        <is>
          <t>Corte</t>
        </is>
      </c>
      <c r="F36" s="11" t="n">
        <v>23</v>
      </c>
      <c r="G36" s="8" t="inlineStr">
        <is>
          <t>UN</t>
        </is>
      </c>
      <c r="H36" s="9" t="n">
        <v>12.5</v>
      </c>
      <c r="I36" s="8" t="inlineStr">
        <is>
          <t>MECANICA</t>
        </is>
      </c>
      <c r="J36" s="8" t="inlineStr">
        <is>
          <t>Consumo</t>
        </is>
      </c>
      <c r="K36" s="9">
        <f>ROUND(tbConsumo[[#This Row],[Quantidade]]*tbConsumo[[#This Row],[Custo_Unitario]],2)</f>
        <v>287.5</v>
      </c>
      <c r="L36" s="11" t="str">
        <f>YEAR(tbConsumo[[#This Row],[Data]])&amp;"-"&amp;TEXT(MONTH(tbConsumo[[#This Row],[Data]]),"00")</f>
        <v>2026-06</v>
      </c>
    </row>
    <row r="37">
      <c r="A37" s="8" t="inlineStr">
        <is>
          <t>MOV0036</t>
        </is>
      </c>
      <c r="B37" s="13" t="n">
        <v>46189</v>
      </c>
      <c r="C37" s="8" t="inlineStr">
        <is>
          <t>MAT004</t>
        </is>
      </c>
      <c r="D37" s="8" t="inlineStr">
        <is>
          <t>Bico de Contato MIG 1,0 mm</t>
        </is>
      </c>
      <c r="E37" s="8" t="inlineStr">
        <is>
          <t>Soldagem</t>
        </is>
      </c>
      <c r="F37" s="11" t="n">
        <v>1</v>
      </c>
      <c r="G37" s="8" t="inlineStr">
        <is>
          <t>PCT</t>
        </is>
      </c>
      <c r="H37" s="9" t="n">
        <v>45</v>
      </c>
      <c r="I37" s="8" t="inlineStr">
        <is>
          <t>SOLDAGEM</t>
        </is>
      </c>
      <c r="J37" s="8" t="inlineStr">
        <is>
          <t>Consumo</t>
        </is>
      </c>
      <c r="K37" s="9">
        <f>ROUND(tbConsumo[[#This Row],[Quantidade]]*tbConsumo[[#This Row],[Custo_Unitario]],2)</f>
        <v>45</v>
      </c>
      <c r="L37" s="11" t="str">
        <f>YEAR(tbConsumo[[#This Row],[Data]])&amp;"-"&amp;TEXT(MONTH(tbConsumo[[#This Row],[Data]]),"00")</f>
        <v>2026-06</v>
      </c>
    </row>
    <row r="38">
      <c r="A38" s="8" t="inlineStr">
        <is>
          <t>MOV0037</t>
        </is>
      </c>
      <c r="B38" s="13" t="n">
        <v>46190</v>
      </c>
      <c r="C38" s="8" t="inlineStr">
        <is>
          <t>MAT004</t>
        </is>
      </c>
      <c r="D38" s="8" t="inlineStr">
        <is>
          <t>Bico de Contato MIG 1,0 mm</t>
        </is>
      </c>
      <c r="E38" s="8" t="inlineStr">
        <is>
          <t>Soldagem</t>
        </is>
      </c>
      <c r="F38" s="11" t="n">
        <v>1</v>
      </c>
      <c r="G38" s="8" t="inlineStr">
        <is>
          <t>PCT</t>
        </is>
      </c>
      <c r="H38" s="9" t="n">
        <v>45</v>
      </c>
      <c r="I38" s="8" t="inlineStr">
        <is>
          <t>SOLDAGEM</t>
        </is>
      </c>
      <c r="J38" s="8" t="inlineStr">
        <is>
          <t>Consumo</t>
        </is>
      </c>
      <c r="K38" s="9">
        <f>ROUND(tbConsumo[[#This Row],[Quantidade]]*tbConsumo[[#This Row],[Custo_Unitario]],2)</f>
        <v>45</v>
      </c>
      <c r="L38" s="11" t="str">
        <f>YEAR(tbConsumo[[#This Row],[Data]])&amp;"-"&amp;TEXT(MONTH(tbConsumo[[#This Row],[Data]]),"00")</f>
        <v>2026-06</v>
      </c>
    </row>
    <row r="39">
      <c r="A39" s="8" t="inlineStr">
        <is>
          <t>MOV0038</t>
        </is>
      </c>
      <c r="B39" s="13" t="n">
        <v>46190</v>
      </c>
      <c r="C39" s="8" t="inlineStr">
        <is>
          <t>MAT015</t>
        </is>
      </c>
      <c r="D39" s="8" t="inlineStr">
        <is>
          <t>Luva de Raspa</t>
        </is>
      </c>
      <c r="E39" s="8" t="inlineStr">
        <is>
          <t>EPI</t>
        </is>
      </c>
      <c r="F39" s="11" t="n">
        <v>5</v>
      </c>
      <c r="G39" s="8" t="inlineStr">
        <is>
          <t>PAR</t>
        </is>
      </c>
      <c r="H39" s="9" t="n">
        <v>15</v>
      </c>
      <c r="I39" s="8" t="inlineStr">
        <is>
          <t>MECANICA</t>
        </is>
      </c>
      <c r="J39" s="8" t="inlineStr">
        <is>
          <t>Consumo</t>
        </is>
      </c>
      <c r="K39" s="9">
        <f>ROUND(tbConsumo[[#This Row],[Quantidade]]*tbConsumo[[#This Row],[Custo_Unitario]],2)</f>
        <v>75</v>
      </c>
      <c r="L39" s="11" t="str">
        <f>YEAR(tbConsumo[[#This Row],[Data]])&amp;"-"&amp;TEXT(MONTH(tbConsumo[[#This Row],[Data]]),"00")</f>
        <v>2026-06</v>
      </c>
    </row>
    <row r="40">
      <c r="A40" s="8" t="inlineStr">
        <is>
          <t>MOV0039</t>
        </is>
      </c>
      <c r="B40" s="13" t="n">
        <v>46190</v>
      </c>
      <c r="C40" s="8" t="inlineStr">
        <is>
          <t>MAT001</t>
        </is>
      </c>
      <c r="D40" s="8" t="inlineStr">
        <is>
          <t>Disco de Desbaste 7 pol</t>
        </is>
      </c>
      <c r="E40" s="8" t="inlineStr">
        <is>
          <t>Abrasivos</t>
        </is>
      </c>
      <c r="F40" s="11" t="n">
        <v>7</v>
      </c>
      <c r="G40" s="8" t="inlineStr">
        <is>
          <t>UN</t>
        </is>
      </c>
      <c r="H40" s="9" t="n">
        <v>9.800000000000001</v>
      </c>
      <c r="I40" s="8" t="inlineStr">
        <is>
          <t>SOLDAGEM</t>
        </is>
      </c>
      <c r="J40" s="8" t="inlineStr">
        <is>
          <t>Consumo</t>
        </is>
      </c>
      <c r="K40" s="9">
        <f>ROUND(tbConsumo[[#This Row],[Quantidade]]*tbConsumo[[#This Row],[Custo_Unitario]],2)</f>
        <v>68.6</v>
      </c>
      <c r="L40" s="11" t="str">
        <f>YEAR(tbConsumo[[#This Row],[Data]])&amp;"-"&amp;TEXT(MONTH(tbConsumo[[#This Row],[Data]]),"00")</f>
        <v>2026-06</v>
      </c>
    </row>
    <row r="41">
      <c r="A41" s="8" t="inlineStr">
        <is>
          <t>MOV0040</t>
        </is>
      </c>
      <c r="B41" s="13" t="n">
        <v>46190</v>
      </c>
      <c r="C41" s="8" t="inlineStr">
        <is>
          <t>MAT015</t>
        </is>
      </c>
      <c r="D41" s="8" t="inlineStr">
        <is>
          <t>Luva de Raspa</t>
        </is>
      </c>
      <c r="E41" s="8" t="inlineStr">
        <is>
          <t>EPI</t>
        </is>
      </c>
      <c r="F41" s="11" t="n">
        <v>7</v>
      </c>
      <c r="G41" s="8" t="inlineStr">
        <is>
          <t>PAR</t>
        </is>
      </c>
      <c r="H41" s="9" t="n">
        <v>15</v>
      </c>
      <c r="I41" s="8" t="inlineStr">
        <is>
          <t>FABRICACAO</t>
        </is>
      </c>
      <c r="J41" s="8" t="inlineStr">
        <is>
          <t>Consumo</t>
        </is>
      </c>
      <c r="K41" s="9">
        <f>ROUND(tbConsumo[[#This Row],[Quantidade]]*tbConsumo[[#This Row],[Custo_Unitario]],2)</f>
        <v>105</v>
      </c>
      <c r="L41" s="11" t="str">
        <f>YEAR(tbConsumo[[#This Row],[Data]])&amp;"-"&amp;TEXT(MONTH(tbConsumo[[#This Row],[Data]]),"00")</f>
        <v>2026-06</v>
      </c>
    </row>
    <row r="42">
      <c r="A42" s="8" t="inlineStr">
        <is>
          <t>MOV0041</t>
        </is>
      </c>
      <c r="B42" s="13" t="n">
        <v>46190</v>
      </c>
      <c r="C42" s="8" t="inlineStr">
        <is>
          <t>MAT002</t>
        </is>
      </c>
      <c r="D42" s="8" t="inlineStr">
        <is>
          <t>Disco Flap 4,5 pol Grão 60</t>
        </is>
      </c>
      <c r="E42" s="8" t="inlineStr">
        <is>
          <t>Abrasivos</t>
        </is>
      </c>
      <c r="F42" s="11" t="n">
        <v>26</v>
      </c>
      <c r="G42" s="8" t="inlineStr">
        <is>
          <t>UN</t>
        </is>
      </c>
      <c r="H42" s="9" t="n">
        <v>7.4</v>
      </c>
      <c r="I42" s="8" t="inlineStr">
        <is>
          <t>SOLDAGEM</t>
        </is>
      </c>
      <c r="J42" s="8" t="inlineStr">
        <is>
          <t>Consumo</t>
        </is>
      </c>
      <c r="K42" s="9">
        <f>ROUND(tbConsumo[[#This Row],[Quantidade]]*tbConsumo[[#This Row],[Custo_Unitario]],2)</f>
        <v>192.4</v>
      </c>
      <c r="L42" s="11" t="str">
        <f>YEAR(tbConsumo[[#This Row],[Data]])&amp;"-"&amp;TEXT(MONTH(tbConsumo[[#This Row],[Data]]),"00")</f>
        <v>2026-06</v>
      </c>
    </row>
    <row r="43">
      <c r="A43" s="8" t="inlineStr">
        <is>
          <t>MOV0042</t>
        </is>
      </c>
      <c r="B43" s="13" t="n">
        <v>46190</v>
      </c>
      <c r="C43" s="8" t="inlineStr">
        <is>
          <t>MAT007</t>
        </is>
      </c>
      <c r="D43" s="8" t="inlineStr">
        <is>
          <t>Disco de Corte 7 pol</t>
        </is>
      </c>
      <c r="E43" s="8" t="inlineStr">
        <is>
          <t>Corte</t>
        </is>
      </c>
      <c r="F43" s="11" t="n">
        <v>8</v>
      </c>
      <c r="G43" s="8" t="inlineStr">
        <is>
          <t>UN</t>
        </is>
      </c>
      <c r="H43" s="9" t="n">
        <v>12.5</v>
      </c>
      <c r="I43" s="8" t="inlineStr">
        <is>
          <t>MANUTENCAO</t>
        </is>
      </c>
      <c r="J43" s="8" t="inlineStr">
        <is>
          <t>Consumo</t>
        </is>
      </c>
      <c r="K43" s="9">
        <f>ROUND(tbConsumo[[#This Row],[Quantidade]]*tbConsumo[[#This Row],[Custo_Unitario]],2)</f>
        <v>100</v>
      </c>
      <c r="L43" s="11" t="str">
        <f>YEAR(tbConsumo[[#This Row],[Data]])&amp;"-"&amp;TEXT(MONTH(tbConsumo[[#This Row],[Data]]),"00")</f>
        <v>2026-06</v>
      </c>
    </row>
    <row r="44">
      <c r="A44" s="8" t="inlineStr">
        <is>
          <t>MOV0043</t>
        </is>
      </c>
      <c r="B44" s="13" t="n">
        <v>46191</v>
      </c>
      <c r="C44" s="8" t="inlineStr">
        <is>
          <t>MAT007</t>
        </is>
      </c>
      <c r="D44" s="8" t="inlineStr">
        <is>
          <t>Disco de Corte 7 pol</t>
        </is>
      </c>
      <c r="E44" s="8" t="inlineStr">
        <is>
          <t>Corte</t>
        </is>
      </c>
      <c r="F44" s="11" t="n">
        <v>30</v>
      </c>
      <c r="G44" s="8" t="inlineStr">
        <is>
          <t>UN</t>
        </is>
      </c>
      <c r="H44" s="9" t="n">
        <v>12.5</v>
      </c>
      <c r="I44" s="8" t="inlineStr">
        <is>
          <t>MECANICA</t>
        </is>
      </c>
      <c r="J44" s="8" t="inlineStr">
        <is>
          <t>Consumo</t>
        </is>
      </c>
      <c r="K44" s="9">
        <f>ROUND(tbConsumo[[#This Row],[Quantidade]]*tbConsumo[[#This Row],[Custo_Unitario]],2)</f>
        <v>375</v>
      </c>
      <c r="L44" s="11" t="str">
        <f>YEAR(tbConsumo[[#This Row],[Data]])&amp;"-"&amp;TEXT(MONTH(tbConsumo[[#This Row],[Data]]),"00")</f>
        <v>2026-06</v>
      </c>
    </row>
    <row r="45">
      <c r="A45" s="8" t="inlineStr">
        <is>
          <t>MOV0044</t>
        </is>
      </c>
      <c r="B45" s="13" t="n">
        <v>46191</v>
      </c>
      <c r="C45" s="8" t="inlineStr">
        <is>
          <t>MAT008</t>
        </is>
      </c>
      <c r="D45" s="8" t="inlineStr">
        <is>
          <t>Disco de Corte 4,5 pol</t>
        </is>
      </c>
      <c r="E45" s="8" t="inlineStr">
        <is>
          <t>Corte</t>
        </is>
      </c>
      <c r="F45" s="11" t="n">
        <v>39</v>
      </c>
      <c r="G45" s="8" t="inlineStr">
        <is>
          <t>UN</t>
        </is>
      </c>
      <c r="H45" s="9" t="n">
        <v>5.9</v>
      </c>
      <c r="I45" s="8" t="inlineStr">
        <is>
          <t>FABRICACAO</t>
        </is>
      </c>
      <c r="J45" s="8" t="inlineStr">
        <is>
          <t>Consumo</t>
        </is>
      </c>
      <c r="K45" s="9">
        <f>ROUND(tbConsumo[[#This Row],[Quantidade]]*tbConsumo[[#This Row],[Custo_Unitario]],2)</f>
        <v>230.1</v>
      </c>
      <c r="L45" s="11" t="str">
        <f>YEAR(tbConsumo[[#This Row],[Data]])&amp;"-"&amp;TEXT(MONTH(tbConsumo[[#This Row],[Data]]),"00")</f>
        <v>2026-06</v>
      </c>
    </row>
    <row r="46">
      <c r="A46" s="8" t="inlineStr">
        <is>
          <t>MOV0045</t>
        </is>
      </c>
      <c r="B46" s="13" t="n">
        <v>46192</v>
      </c>
      <c r="C46" s="8" t="inlineStr">
        <is>
          <t>MAT006</t>
        </is>
      </c>
      <c r="D46" s="8" t="inlineStr">
        <is>
          <t>Arame MIG 1,0 mm Bobina</t>
        </is>
      </c>
      <c r="E46" s="8" t="inlineStr">
        <is>
          <t>Soldagem</t>
        </is>
      </c>
      <c r="F46" s="11" t="n">
        <v>1</v>
      </c>
      <c r="G46" s="8" t="inlineStr">
        <is>
          <t>UN</t>
        </is>
      </c>
      <c r="H46" s="9" t="n">
        <v>210</v>
      </c>
      <c r="I46" s="8" t="inlineStr">
        <is>
          <t>SOLDAGEM</t>
        </is>
      </c>
      <c r="J46" s="8" t="inlineStr">
        <is>
          <t>Consumo</t>
        </is>
      </c>
      <c r="K46" s="9">
        <f>ROUND(tbConsumo[[#This Row],[Quantidade]]*tbConsumo[[#This Row],[Custo_Unitario]],2)</f>
        <v>210</v>
      </c>
      <c r="L46" s="11" t="str">
        <f>YEAR(tbConsumo[[#This Row],[Data]])&amp;"-"&amp;TEXT(MONTH(tbConsumo[[#This Row],[Data]]),"00")</f>
        <v>2026-06</v>
      </c>
    </row>
    <row r="47">
      <c r="A47" s="8" t="inlineStr">
        <is>
          <t>MOV0046</t>
        </is>
      </c>
      <c r="B47" s="13" t="n">
        <v>46195</v>
      </c>
      <c r="C47" s="8" t="inlineStr">
        <is>
          <t>MAT016</t>
        </is>
      </c>
      <c r="D47" s="8" t="inlineStr">
        <is>
          <t>Óculos de Proteção Incolor</t>
        </is>
      </c>
      <c r="E47" s="8" t="inlineStr">
        <is>
          <t>EPI</t>
        </is>
      </c>
      <c r="F47" s="11" t="n">
        <v>5</v>
      </c>
      <c r="G47" s="8" t="inlineStr">
        <is>
          <t>UN</t>
        </is>
      </c>
      <c r="H47" s="9" t="n">
        <v>6.5</v>
      </c>
      <c r="I47" s="8" t="inlineStr">
        <is>
          <t>SOLDAGEM</t>
        </is>
      </c>
      <c r="J47" s="8" t="inlineStr">
        <is>
          <t>Consumo</t>
        </is>
      </c>
      <c r="K47" s="9">
        <f>ROUND(tbConsumo[[#This Row],[Quantidade]]*tbConsumo[[#This Row],[Custo_Unitario]],2)</f>
        <v>32.5</v>
      </c>
      <c r="L47" s="11" t="str">
        <f>YEAR(tbConsumo[[#This Row],[Data]])&amp;"-"&amp;TEXT(MONTH(tbConsumo[[#This Row],[Data]]),"00")</f>
        <v>2026-06</v>
      </c>
    </row>
    <row r="48">
      <c r="A48" s="8" t="inlineStr">
        <is>
          <t>MOV0047</t>
        </is>
      </c>
      <c r="B48" s="13" t="n">
        <v>46195</v>
      </c>
      <c r="C48" s="8" t="inlineStr">
        <is>
          <t>MAT013</t>
        </is>
      </c>
      <c r="D48" s="8" t="inlineStr">
        <is>
          <t>Terminal de Compressão 6 mm²</t>
        </is>
      </c>
      <c r="E48" s="8" t="inlineStr">
        <is>
          <t>Elétrica</t>
        </is>
      </c>
      <c r="F48" s="11" t="n">
        <v>2</v>
      </c>
      <c r="G48" s="8" t="inlineStr">
        <is>
          <t>PCT</t>
        </is>
      </c>
      <c r="H48" s="9" t="n">
        <v>28</v>
      </c>
      <c r="I48" s="8" t="inlineStr">
        <is>
          <t>MANUTENCAO</t>
        </is>
      </c>
      <c r="J48" s="8" t="inlineStr">
        <is>
          <t>Consumo</t>
        </is>
      </c>
      <c r="K48" s="9">
        <f>ROUND(tbConsumo[[#This Row],[Quantidade]]*tbConsumo[[#This Row],[Custo_Unitario]],2)</f>
        <v>56</v>
      </c>
      <c r="L48" s="11" t="str">
        <f>YEAR(tbConsumo[[#This Row],[Data]])&amp;"-"&amp;TEXT(MONTH(tbConsumo[[#This Row],[Data]]),"00")</f>
        <v>2026-06</v>
      </c>
    </row>
    <row r="49">
      <c r="A49" s="8" t="inlineStr">
        <is>
          <t>MOV0048</t>
        </is>
      </c>
      <c r="B49" s="13" t="n">
        <v>46196</v>
      </c>
      <c r="C49" s="8" t="inlineStr">
        <is>
          <t>MAT007</t>
        </is>
      </c>
      <c r="D49" s="8" t="inlineStr">
        <is>
          <t>Disco de Corte 7 pol</t>
        </is>
      </c>
      <c r="E49" s="8" t="inlineStr">
        <is>
          <t>Corte</t>
        </is>
      </c>
      <c r="F49" s="11" t="n">
        <v>13</v>
      </c>
      <c r="G49" s="8" t="inlineStr">
        <is>
          <t>UN</t>
        </is>
      </c>
      <c r="H49" s="9" t="n">
        <v>12.5</v>
      </c>
      <c r="I49" s="8" t="inlineStr">
        <is>
          <t>FABRICACAO</t>
        </is>
      </c>
      <c r="J49" s="8" t="inlineStr">
        <is>
          <t>Consumo</t>
        </is>
      </c>
      <c r="K49" s="9">
        <f>ROUND(tbConsumo[[#This Row],[Quantidade]]*tbConsumo[[#This Row],[Custo_Unitario]],2)</f>
        <v>162.5</v>
      </c>
      <c r="L49" s="11" t="str">
        <f>YEAR(tbConsumo[[#This Row],[Data]])&amp;"-"&amp;TEXT(MONTH(tbConsumo[[#This Row],[Data]]),"00")</f>
        <v>2026-06</v>
      </c>
    </row>
    <row r="50">
      <c r="A50" s="8" t="inlineStr">
        <is>
          <t>MOV0049</t>
        </is>
      </c>
      <c r="B50" s="13" t="n">
        <v>46196</v>
      </c>
      <c r="C50" s="8" t="inlineStr">
        <is>
          <t>MAT019</t>
        </is>
      </c>
      <c r="D50" s="8" t="inlineStr">
        <is>
          <t>Trena de Aço 5 m</t>
        </is>
      </c>
      <c r="E50" s="8" t="inlineStr">
        <is>
          <t>Ferramentas</t>
        </is>
      </c>
      <c r="F50" s="11" t="n">
        <v>1</v>
      </c>
      <c r="G50" s="8" t="inlineStr">
        <is>
          <t>UN</t>
        </is>
      </c>
      <c r="H50" s="9" t="n">
        <v>19</v>
      </c>
      <c r="I50" s="8" t="inlineStr">
        <is>
          <t>MANUTENCAO</t>
        </is>
      </c>
      <c r="J50" s="8" t="inlineStr">
        <is>
          <t>Consumo</t>
        </is>
      </c>
      <c r="K50" s="9">
        <f>ROUND(tbConsumo[[#This Row],[Quantidade]]*tbConsumo[[#This Row],[Custo_Unitario]],2)</f>
        <v>19</v>
      </c>
      <c r="L50" s="11" t="str">
        <f>YEAR(tbConsumo[[#This Row],[Data]])&amp;"-"&amp;TEXT(MONTH(tbConsumo[[#This Row],[Data]]),"00")</f>
        <v>2026-06</v>
      </c>
    </row>
    <row r="51">
      <c r="A51" s="8" t="inlineStr">
        <is>
          <t>MOV0050</t>
        </is>
      </c>
      <c r="B51" s="13" t="n">
        <v>46197</v>
      </c>
      <c r="C51" s="8" t="inlineStr">
        <is>
          <t>MAT011</t>
        </is>
      </c>
      <c r="D51" s="8" t="inlineStr">
        <is>
          <t>Cabo Flexível 2,5 mm² Rolo</t>
        </is>
      </c>
      <c r="E51" s="8" t="inlineStr">
        <is>
          <t>Elétrica</t>
        </is>
      </c>
      <c r="F51" s="11" t="n">
        <v>2</v>
      </c>
      <c r="G51" s="8" t="inlineStr">
        <is>
          <t>UN</t>
        </is>
      </c>
      <c r="H51" s="9" t="n">
        <v>285</v>
      </c>
      <c r="I51" s="8" t="inlineStr">
        <is>
          <t>ELETRICA</t>
        </is>
      </c>
      <c r="J51" s="8" t="inlineStr">
        <is>
          <t>Consumo</t>
        </is>
      </c>
      <c r="K51" s="9">
        <f>ROUND(tbConsumo[[#This Row],[Quantidade]]*tbConsumo[[#This Row],[Custo_Unitario]],2)</f>
        <v>570</v>
      </c>
      <c r="L51" s="11" t="str">
        <f>YEAR(tbConsumo[[#This Row],[Data]])&amp;"-"&amp;TEXT(MONTH(tbConsumo[[#This Row],[Data]]),"00")</f>
        <v>2026-06</v>
      </c>
    </row>
    <row r="52">
      <c r="A52" s="8" t="inlineStr">
        <is>
          <t>MOV0051</t>
        </is>
      </c>
      <c r="B52" s="13" t="n">
        <v>46198</v>
      </c>
      <c r="C52" s="8" t="inlineStr">
        <is>
          <t>MAT015</t>
        </is>
      </c>
      <c r="D52" s="8" t="inlineStr">
        <is>
          <t>Luva de Raspa</t>
        </is>
      </c>
      <c r="E52" s="8" t="inlineStr">
        <is>
          <t>EPI</t>
        </is>
      </c>
      <c r="F52" s="11" t="n">
        <v>2</v>
      </c>
      <c r="G52" s="8" t="inlineStr">
        <is>
          <t>PAR</t>
        </is>
      </c>
      <c r="H52" s="9" t="n">
        <v>15</v>
      </c>
      <c r="I52" s="8" t="inlineStr">
        <is>
          <t>ELETRICA</t>
        </is>
      </c>
      <c r="J52" s="8" t="inlineStr">
        <is>
          <t>Consumo</t>
        </is>
      </c>
      <c r="K52" s="9">
        <f>ROUND(tbConsumo[[#This Row],[Quantidade]]*tbConsumo[[#This Row],[Custo_Unitario]],2)</f>
        <v>30</v>
      </c>
      <c r="L52" s="11" t="str">
        <f>YEAR(tbConsumo[[#This Row],[Data]])&amp;"-"&amp;TEXT(MONTH(tbConsumo[[#This Row],[Data]]),"00")</f>
        <v>2026-06</v>
      </c>
    </row>
    <row r="53">
      <c r="A53" s="8" t="inlineStr">
        <is>
          <t>MOV0052</t>
        </is>
      </c>
      <c r="B53" s="13" t="n">
        <v>46198</v>
      </c>
      <c r="C53" s="8" t="inlineStr">
        <is>
          <t>MAT012</t>
        </is>
      </c>
      <c r="D53" s="8" t="inlineStr">
        <is>
          <t>Fita Isolante 19 mm</t>
        </is>
      </c>
      <c r="E53" s="8" t="inlineStr">
        <is>
          <t>Elétrica</t>
        </is>
      </c>
      <c r="F53" s="11" t="n">
        <v>3</v>
      </c>
      <c r="G53" s="8" t="inlineStr">
        <is>
          <t>PCT</t>
        </is>
      </c>
      <c r="H53" s="9" t="n">
        <v>42</v>
      </c>
      <c r="I53" s="8" t="inlineStr">
        <is>
          <t>ELETRICA</t>
        </is>
      </c>
      <c r="J53" s="8" t="inlineStr">
        <is>
          <t>Consumo</t>
        </is>
      </c>
      <c r="K53" s="9">
        <f>ROUND(tbConsumo[[#This Row],[Quantidade]]*tbConsumo[[#This Row],[Custo_Unitario]],2)</f>
        <v>126</v>
      </c>
      <c r="L53" s="11" t="str">
        <f>YEAR(tbConsumo[[#This Row],[Data]])&amp;"-"&amp;TEXT(MONTH(tbConsumo[[#This Row],[Data]]),"00")</f>
        <v>2026-06</v>
      </c>
    </row>
    <row r="54">
      <c r="A54" s="8" t="inlineStr">
        <is>
          <t>MOV0053</t>
        </is>
      </c>
      <c r="B54" s="13" t="n">
        <v>46198</v>
      </c>
      <c r="C54" s="8" t="inlineStr">
        <is>
          <t>MAT008</t>
        </is>
      </c>
      <c r="D54" s="8" t="inlineStr">
        <is>
          <t>Disco de Corte 4,5 pol</t>
        </is>
      </c>
      <c r="E54" s="8" t="inlineStr">
        <is>
          <t>Corte</t>
        </is>
      </c>
      <c r="F54" s="11" t="n">
        <v>28</v>
      </c>
      <c r="G54" s="8" t="inlineStr">
        <is>
          <t>UN</t>
        </is>
      </c>
      <c r="H54" s="9" t="n">
        <v>5.9</v>
      </c>
      <c r="I54" s="8" t="inlineStr">
        <is>
          <t>FABRICACAO</t>
        </is>
      </c>
      <c r="J54" s="8" t="inlineStr">
        <is>
          <t>Consumo</t>
        </is>
      </c>
      <c r="K54" s="9">
        <f>ROUND(tbConsumo[[#This Row],[Quantidade]]*tbConsumo[[#This Row],[Custo_Unitario]],2)</f>
        <v>165.2</v>
      </c>
      <c r="L54" s="11" t="str">
        <f>YEAR(tbConsumo[[#This Row],[Data]])&amp;"-"&amp;TEXT(MONTH(tbConsumo[[#This Row],[Data]]),"00")</f>
        <v>2026-06</v>
      </c>
    </row>
    <row r="55">
      <c r="A55" s="8" t="inlineStr">
        <is>
          <t>MOV0054</t>
        </is>
      </c>
      <c r="B55" s="13" t="n">
        <v>46199</v>
      </c>
      <c r="C55" s="8" t="inlineStr">
        <is>
          <t>MAT007</t>
        </is>
      </c>
      <c r="D55" s="8" t="inlineStr">
        <is>
          <t>Disco de Corte 7 pol</t>
        </is>
      </c>
      <c r="E55" s="8" t="inlineStr">
        <is>
          <t>Corte</t>
        </is>
      </c>
      <c r="F55" s="11" t="n">
        <v>5</v>
      </c>
      <c r="G55" s="8" t="inlineStr">
        <is>
          <t>UN</t>
        </is>
      </c>
      <c r="H55" s="9" t="n">
        <v>12.5</v>
      </c>
      <c r="I55" s="8" t="inlineStr">
        <is>
          <t>MANUTENCAO</t>
        </is>
      </c>
      <c r="J55" s="8" t="inlineStr">
        <is>
          <t>Consumo</t>
        </is>
      </c>
      <c r="K55" s="9">
        <f>ROUND(tbConsumo[[#This Row],[Quantidade]]*tbConsumo[[#This Row],[Custo_Unitario]],2)</f>
        <v>62.5</v>
      </c>
      <c r="L55" s="11" t="str">
        <f>YEAR(tbConsumo[[#This Row],[Data]])&amp;"-"&amp;TEXT(MONTH(tbConsumo[[#This Row],[Data]]),"00")</f>
        <v>2026-06</v>
      </c>
    </row>
    <row r="56">
      <c r="A56" s="8" t="inlineStr">
        <is>
          <t>MOV0055</t>
        </is>
      </c>
      <c r="B56" s="13" t="n">
        <v>46199</v>
      </c>
      <c r="C56" s="8" t="inlineStr">
        <is>
          <t>MAT006</t>
        </is>
      </c>
      <c r="D56" s="8" t="inlineStr">
        <is>
          <t>Arame MIG 1,0 mm Bobina</t>
        </is>
      </c>
      <c r="E56" s="8" t="inlineStr">
        <is>
          <t>Soldagem</t>
        </is>
      </c>
      <c r="F56" s="11" t="n">
        <v>1</v>
      </c>
      <c r="G56" s="8" t="inlineStr">
        <is>
          <t>UN</t>
        </is>
      </c>
      <c r="H56" s="9" t="n">
        <v>210</v>
      </c>
      <c r="I56" s="8" t="inlineStr">
        <is>
          <t>MANUTENCAO</t>
        </is>
      </c>
      <c r="J56" s="8" t="inlineStr">
        <is>
          <t>Consumo</t>
        </is>
      </c>
      <c r="K56" s="9">
        <f>ROUND(tbConsumo[[#This Row],[Quantidade]]*tbConsumo[[#This Row],[Custo_Unitario]],2)</f>
        <v>210</v>
      </c>
      <c r="L56" s="11" t="str">
        <f>YEAR(tbConsumo[[#This Row],[Data]])&amp;"-"&amp;TEXT(MONTH(tbConsumo[[#This Row],[Data]]),"00")</f>
        <v>2026-06</v>
      </c>
    </row>
    <row r="57">
      <c r="A57" s="8" t="inlineStr">
        <is>
          <t>MOV0056</t>
        </is>
      </c>
      <c r="B57" s="13" t="n">
        <v>46199</v>
      </c>
      <c r="C57" s="8" t="inlineStr">
        <is>
          <t>MAT020</t>
        </is>
      </c>
      <c r="D57" s="8" t="inlineStr">
        <is>
          <t>Broca de Aço Rápido 10 mm</t>
        </is>
      </c>
      <c r="E57" s="8" t="inlineStr">
        <is>
          <t>Ferramentas</t>
        </is>
      </c>
      <c r="F57" s="11" t="n">
        <v>1</v>
      </c>
      <c r="G57" s="8" t="inlineStr">
        <is>
          <t>UN</t>
        </is>
      </c>
      <c r="H57" s="9" t="n">
        <v>21</v>
      </c>
      <c r="I57" s="8" t="inlineStr">
        <is>
          <t>MANUTENCAO</t>
        </is>
      </c>
      <c r="J57" s="8" t="inlineStr">
        <is>
          <t>Consumo</t>
        </is>
      </c>
      <c r="K57" s="9">
        <f>ROUND(tbConsumo[[#This Row],[Quantidade]]*tbConsumo[[#This Row],[Custo_Unitario]],2)</f>
        <v>21</v>
      </c>
      <c r="L57" s="11" t="str">
        <f>YEAR(tbConsumo[[#This Row],[Data]])&amp;"-"&amp;TEXT(MONTH(tbConsumo[[#This Row],[Data]]),"00")</f>
        <v>2026-06</v>
      </c>
    </row>
    <row r="58">
      <c r="A58" s="8" t="inlineStr">
        <is>
          <t>MOV0057</t>
        </is>
      </c>
      <c r="B58" s="13" t="n">
        <v>46199</v>
      </c>
      <c r="C58" s="8" t="inlineStr">
        <is>
          <t>MAT015</t>
        </is>
      </c>
      <c r="D58" s="8" t="inlineStr">
        <is>
          <t>Luva de Raspa</t>
        </is>
      </c>
      <c r="E58" s="8" t="inlineStr">
        <is>
          <t>EPI</t>
        </is>
      </c>
      <c r="F58" s="11" t="n">
        <v>11</v>
      </c>
      <c r="G58" s="8" t="inlineStr">
        <is>
          <t>PAR</t>
        </is>
      </c>
      <c r="H58" s="9" t="n">
        <v>15</v>
      </c>
      <c r="I58" s="8" t="inlineStr">
        <is>
          <t>MANUTENCAO</t>
        </is>
      </c>
      <c r="J58" s="8" t="inlineStr">
        <is>
          <t>Consumo</t>
        </is>
      </c>
      <c r="K58" s="9">
        <f>ROUND(tbConsumo[[#This Row],[Quantidade]]*tbConsumo[[#This Row],[Custo_Unitario]],2)</f>
        <v>165</v>
      </c>
      <c r="L58" s="11" t="str">
        <f>YEAR(tbConsumo[[#This Row],[Data]])&amp;"-"&amp;TEXT(MONTH(tbConsumo[[#This Row],[Data]]),"00")</f>
        <v>2026-06</v>
      </c>
    </row>
    <row r="59">
      <c r="A59" s="8" t="inlineStr">
        <is>
          <t>MOV0058</t>
        </is>
      </c>
      <c r="B59" s="13" t="n">
        <v>46199</v>
      </c>
      <c r="C59" s="8" t="inlineStr">
        <is>
          <t>MAT001</t>
        </is>
      </c>
      <c r="D59" s="8" t="inlineStr">
        <is>
          <t>Disco de Desbaste 7 pol</t>
        </is>
      </c>
      <c r="E59" s="8" t="inlineStr">
        <is>
          <t>Abrasivos</t>
        </is>
      </c>
      <c r="F59" s="11" t="n">
        <v>14</v>
      </c>
      <c r="G59" s="8" t="inlineStr">
        <is>
          <t>UN</t>
        </is>
      </c>
      <c r="H59" s="9" t="n">
        <v>9.800000000000001</v>
      </c>
      <c r="I59" s="8" t="inlineStr">
        <is>
          <t>MANUTENCAO</t>
        </is>
      </c>
      <c r="J59" s="8" t="inlineStr">
        <is>
          <t>Consumo</t>
        </is>
      </c>
      <c r="K59" s="9">
        <f>ROUND(tbConsumo[[#This Row],[Quantidade]]*tbConsumo[[#This Row],[Custo_Unitario]],2)</f>
        <v>137.2</v>
      </c>
      <c r="L59" s="11" t="str">
        <f>YEAR(tbConsumo[[#This Row],[Data]])&amp;"-"&amp;TEXT(MONTH(tbConsumo[[#This Row],[Data]]),"00")</f>
        <v>2026-06</v>
      </c>
    </row>
    <row r="60">
      <c r="A60" s="8" t="inlineStr">
        <is>
          <t>MOV0059</t>
        </is>
      </c>
      <c r="B60" s="13" t="n">
        <v>46199</v>
      </c>
      <c r="C60" s="8" t="inlineStr">
        <is>
          <t>MAT002</t>
        </is>
      </c>
      <c r="D60" s="8" t="inlineStr">
        <is>
          <t>Disco Flap 4,5 pol Grão 60</t>
        </is>
      </c>
      <c r="E60" s="8" t="inlineStr">
        <is>
          <t>Abrasivos</t>
        </is>
      </c>
      <c r="F60" s="11" t="n">
        <v>18</v>
      </c>
      <c r="G60" s="8" t="inlineStr">
        <is>
          <t>UN</t>
        </is>
      </c>
      <c r="H60" s="9" t="n">
        <v>7.4</v>
      </c>
      <c r="I60" s="8" t="inlineStr">
        <is>
          <t>SOLDAGEM</t>
        </is>
      </c>
      <c r="J60" s="8" t="inlineStr">
        <is>
          <t>Consumo</t>
        </is>
      </c>
      <c r="K60" s="9">
        <f>ROUND(tbConsumo[[#This Row],[Quantidade]]*tbConsumo[[#This Row],[Custo_Unitario]],2)</f>
        <v>133.2</v>
      </c>
      <c r="L60" s="11" t="str">
        <f>YEAR(tbConsumo[[#This Row],[Data]])&amp;"-"&amp;TEXT(MONTH(tbConsumo[[#This Row],[Data]]),"00")</f>
        <v>2026-06</v>
      </c>
    </row>
    <row r="61">
      <c r="A61" s="8" t="inlineStr">
        <is>
          <t>MOV0060</t>
        </is>
      </c>
      <c r="B61" s="13" t="n">
        <v>46199</v>
      </c>
      <c r="C61" s="8" t="inlineStr">
        <is>
          <t>MAT016</t>
        </is>
      </c>
      <c r="D61" s="8" t="inlineStr">
        <is>
          <t>Óculos de Proteção Incolor</t>
        </is>
      </c>
      <c r="E61" s="8" t="inlineStr">
        <is>
          <t>EPI</t>
        </is>
      </c>
      <c r="F61" s="11" t="n">
        <v>7</v>
      </c>
      <c r="G61" s="8" t="inlineStr">
        <is>
          <t>UN</t>
        </is>
      </c>
      <c r="H61" s="9" t="n">
        <v>6.5</v>
      </c>
      <c r="I61" s="8" t="inlineStr">
        <is>
          <t>MECANICA</t>
        </is>
      </c>
      <c r="J61" s="8" t="inlineStr">
        <is>
          <t>Consumo</t>
        </is>
      </c>
      <c r="K61" s="9">
        <f>ROUND(tbConsumo[[#This Row],[Quantidade]]*tbConsumo[[#This Row],[Custo_Unitario]],2)</f>
        <v>45.5</v>
      </c>
      <c r="L61" s="11" t="str">
        <f>YEAR(tbConsumo[[#This Row],[Data]])&amp;"-"&amp;TEXT(MONTH(tbConsumo[[#This Row],[Data]]),"00")</f>
        <v>2026-06</v>
      </c>
    </row>
    <row r="62">
      <c r="A62" s="8" t="inlineStr">
        <is>
          <t>MOV0061</t>
        </is>
      </c>
      <c r="B62" s="13" t="n">
        <v>46202</v>
      </c>
      <c r="C62" s="8" t="inlineStr">
        <is>
          <t>MAT006</t>
        </is>
      </c>
      <c r="D62" s="8" t="inlineStr">
        <is>
          <t>Arame MIG 1,0 mm Bobina</t>
        </is>
      </c>
      <c r="E62" s="8" t="inlineStr">
        <is>
          <t>Soldagem</t>
        </is>
      </c>
      <c r="F62" s="11" t="n">
        <v>1</v>
      </c>
      <c r="G62" s="8" t="inlineStr">
        <is>
          <t>UN</t>
        </is>
      </c>
      <c r="H62" s="9" t="n">
        <v>210</v>
      </c>
      <c r="I62" s="8" t="inlineStr">
        <is>
          <t>MANUTENCAO</t>
        </is>
      </c>
      <c r="J62" s="8" t="inlineStr">
        <is>
          <t>Consumo</t>
        </is>
      </c>
      <c r="K62" s="9">
        <f>ROUND(tbConsumo[[#This Row],[Quantidade]]*tbConsumo[[#This Row],[Custo_Unitario]],2)</f>
        <v>210</v>
      </c>
      <c r="L62" s="11" t="str">
        <f>YEAR(tbConsumo[[#This Row],[Data]])&amp;"-"&amp;TEXT(MONTH(tbConsumo[[#This Row],[Data]]),"00")</f>
        <v>2026-06</v>
      </c>
    </row>
    <row r="63">
      <c r="A63" s="8" t="inlineStr">
        <is>
          <t>MOV0062</t>
        </is>
      </c>
      <c r="B63" s="13" t="n">
        <v>46202</v>
      </c>
      <c r="C63" s="8" t="inlineStr">
        <is>
          <t>MAT003</t>
        </is>
      </c>
      <c r="D63" s="8" t="inlineStr">
        <is>
          <t>Lixa de Ferro Grão 80</t>
        </is>
      </c>
      <c r="E63" s="8" t="inlineStr">
        <is>
          <t>Abrasivos</t>
        </is>
      </c>
      <c r="F63" s="11" t="n">
        <v>2</v>
      </c>
      <c r="G63" s="8" t="inlineStr">
        <is>
          <t>PCT</t>
        </is>
      </c>
      <c r="H63" s="9" t="n">
        <v>38</v>
      </c>
      <c r="I63" s="8" t="inlineStr">
        <is>
          <t>FABRICACAO</t>
        </is>
      </c>
      <c r="J63" s="8" t="inlineStr">
        <is>
          <t>Consumo</t>
        </is>
      </c>
      <c r="K63" s="9">
        <f>ROUND(tbConsumo[[#This Row],[Quantidade]]*tbConsumo[[#This Row],[Custo_Unitario]],2)</f>
        <v>76</v>
      </c>
      <c r="L63" s="11" t="str">
        <f>YEAR(tbConsumo[[#This Row],[Data]])&amp;"-"&amp;TEXT(MONTH(tbConsumo[[#This Row],[Data]]),"00")</f>
        <v>2026-06</v>
      </c>
    </row>
    <row r="64">
      <c r="A64" s="8" t="inlineStr">
        <is>
          <t>MOV0063</t>
        </is>
      </c>
      <c r="B64" s="13" t="n">
        <v>46202</v>
      </c>
      <c r="C64" s="8" t="inlineStr">
        <is>
          <t>MAT005</t>
        </is>
      </c>
      <c r="D64" s="8" t="inlineStr">
        <is>
          <t>Eletrodo Revestido 2,5 mm</t>
        </is>
      </c>
      <c r="E64" s="8" t="inlineStr">
        <is>
          <t>Soldagem</t>
        </is>
      </c>
      <c r="F64" s="11" t="n">
        <v>1</v>
      </c>
      <c r="G64" s="8" t="inlineStr">
        <is>
          <t>CX</t>
        </is>
      </c>
      <c r="H64" s="9" t="n">
        <v>96</v>
      </c>
      <c r="I64" s="8" t="inlineStr">
        <is>
          <t>MANUTENCAO</t>
        </is>
      </c>
      <c r="J64" s="8" t="inlineStr">
        <is>
          <t>Consumo</t>
        </is>
      </c>
      <c r="K64" s="9">
        <f>ROUND(tbConsumo[[#This Row],[Quantidade]]*tbConsumo[[#This Row],[Custo_Unitario]],2)</f>
        <v>96</v>
      </c>
      <c r="L64" s="11" t="str">
        <f>YEAR(tbConsumo[[#This Row],[Data]])&amp;"-"&amp;TEXT(MONTH(tbConsumo[[#This Row],[Data]]),"00")</f>
        <v>2026-06</v>
      </c>
    </row>
    <row r="65">
      <c r="A65" s="8" t="inlineStr">
        <is>
          <t>MOV0064</t>
        </is>
      </c>
      <c r="B65" s="13" t="n">
        <v>46203</v>
      </c>
      <c r="C65" s="8" t="inlineStr">
        <is>
          <t>MAT015</t>
        </is>
      </c>
      <c r="D65" s="8" t="inlineStr">
        <is>
          <t>Luva de Raspa</t>
        </is>
      </c>
      <c r="E65" s="8" t="inlineStr">
        <is>
          <t>EPI</t>
        </is>
      </c>
      <c r="F65" s="11" t="n">
        <v>2</v>
      </c>
      <c r="G65" s="8" t="inlineStr">
        <is>
          <t>PAR</t>
        </is>
      </c>
      <c r="H65" s="9" t="n">
        <v>15</v>
      </c>
      <c r="I65" s="8" t="inlineStr">
        <is>
          <t>SOLDAGEM</t>
        </is>
      </c>
      <c r="J65" s="8" t="inlineStr">
        <is>
          <t>Consumo</t>
        </is>
      </c>
      <c r="K65" s="9">
        <f>ROUND(tbConsumo[[#This Row],[Quantidade]]*tbConsumo[[#This Row],[Custo_Unitario]],2)</f>
        <v>30</v>
      </c>
      <c r="L65" s="11" t="str">
        <f>YEAR(tbConsumo[[#This Row],[Data]])&amp;"-"&amp;TEXT(MONTH(tbConsumo[[#This Row],[Data]]),"00")</f>
        <v>2026-06</v>
      </c>
    </row>
    <row r="66">
      <c r="A66" s="8" t="inlineStr">
        <is>
          <t>MOV0065</t>
        </is>
      </c>
      <c r="B66" s="13" t="n">
        <v>46203</v>
      </c>
      <c r="C66" s="8" t="inlineStr">
        <is>
          <t>MAT012</t>
        </is>
      </c>
      <c r="D66" s="8" t="inlineStr">
        <is>
          <t>Fita Isolante 19 mm</t>
        </is>
      </c>
      <c r="E66" s="8" t="inlineStr">
        <is>
          <t>Elétrica</t>
        </is>
      </c>
      <c r="F66" s="11" t="n">
        <v>3</v>
      </c>
      <c r="G66" s="8" t="inlineStr">
        <is>
          <t>PCT</t>
        </is>
      </c>
      <c r="H66" s="9" t="n">
        <v>42</v>
      </c>
      <c r="I66" s="8" t="inlineStr">
        <is>
          <t>ELETRICA</t>
        </is>
      </c>
      <c r="J66" s="8" t="inlineStr">
        <is>
          <t>Consumo</t>
        </is>
      </c>
      <c r="K66" s="9">
        <f>ROUND(tbConsumo[[#This Row],[Quantidade]]*tbConsumo[[#This Row],[Custo_Unitario]],2)</f>
        <v>126</v>
      </c>
      <c r="L66" s="11" t="str">
        <f>YEAR(tbConsumo[[#This Row],[Data]])&amp;"-"&amp;TEXT(MONTH(tbConsumo[[#This Row],[Data]]),"00")</f>
        <v>2026-06</v>
      </c>
    </row>
    <row r="67">
      <c r="A67" s="8" t="inlineStr">
        <is>
          <t>MOV0066</t>
        </is>
      </c>
      <c r="B67" s="13" t="n">
        <v>46204</v>
      </c>
      <c r="C67" s="8" t="inlineStr">
        <is>
          <t>MAT008</t>
        </is>
      </c>
      <c r="D67" s="8" t="inlineStr">
        <is>
          <t>Disco de Corte 4,5 pol</t>
        </is>
      </c>
      <c r="E67" s="8" t="inlineStr">
        <is>
          <t>Corte</t>
        </is>
      </c>
      <c r="F67" s="11" t="n">
        <v>48</v>
      </c>
      <c r="G67" s="8" t="inlineStr">
        <is>
          <t>UN</t>
        </is>
      </c>
      <c r="H67" s="9" t="n">
        <v>5.9</v>
      </c>
      <c r="I67" s="8" t="inlineStr">
        <is>
          <t>MECANICA</t>
        </is>
      </c>
      <c r="J67" s="8" t="inlineStr">
        <is>
          <t>Consumo</t>
        </is>
      </c>
      <c r="K67" s="9">
        <f>ROUND(tbConsumo[[#This Row],[Quantidade]]*tbConsumo[[#This Row],[Custo_Unitario]],2)</f>
        <v>283.2</v>
      </c>
      <c r="L67" s="11" t="str">
        <f>YEAR(tbConsumo[[#This Row],[Data]])&amp;"-"&amp;TEXT(MONTH(tbConsumo[[#This Row],[Data]]),"00")</f>
        <v>2026-07</v>
      </c>
    </row>
    <row r="68">
      <c r="A68" s="8" t="inlineStr">
        <is>
          <t>MOV0067</t>
        </is>
      </c>
      <c r="B68" s="13" t="n">
        <v>46204</v>
      </c>
      <c r="C68" s="8" t="inlineStr">
        <is>
          <t>MAT002</t>
        </is>
      </c>
      <c r="D68" s="8" t="inlineStr">
        <is>
          <t>Disco Flap 4,5 pol Grão 60</t>
        </is>
      </c>
      <c r="E68" s="8" t="inlineStr">
        <is>
          <t>Abrasivos</t>
        </is>
      </c>
      <c r="F68" s="11" t="n">
        <v>28</v>
      </c>
      <c r="G68" s="8" t="inlineStr">
        <is>
          <t>UN</t>
        </is>
      </c>
      <c r="H68" s="9" t="n">
        <v>7.4</v>
      </c>
      <c r="I68" s="8" t="inlineStr">
        <is>
          <t>MECANICA</t>
        </is>
      </c>
      <c r="J68" s="8" t="inlineStr">
        <is>
          <t>Consumo</t>
        </is>
      </c>
      <c r="K68" s="9">
        <f>ROUND(tbConsumo[[#This Row],[Quantidade]]*tbConsumo[[#This Row],[Custo_Unitario]],2)</f>
        <v>207.2</v>
      </c>
      <c r="L68" s="11" t="str">
        <f>YEAR(tbConsumo[[#This Row],[Data]])&amp;"-"&amp;TEXT(MONTH(tbConsumo[[#This Row],[Data]]),"00")</f>
        <v>2026-07</v>
      </c>
    </row>
    <row r="69">
      <c r="A69" s="8" t="inlineStr">
        <is>
          <t>MOV0068</t>
        </is>
      </c>
      <c r="B69" s="13" t="n">
        <v>46204</v>
      </c>
      <c r="C69" s="8" t="inlineStr">
        <is>
          <t>MAT011</t>
        </is>
      </c>
      <c r="D69" s="8" t="inlineStr">
        <is>
          <t>Cabo Flexível 2,5 mm² Rolo</t>
        </is>
      </c>
      <c r="E69" s="8" t="inlineStr">
        <is>
          <t>Elétrica</t>
        </is>
      </c>
      <c r="F69" s="11" t="n">
        <v>1</v>
      </c>
      <c r="G69" s="8" t="inlineStr">
        <is>
          <t>UN</t>
        </is>
      </c>
      <c r="H69" s="9" t="n">
        <v>285</v>
      </c>
      <c r="I69" s="8" t="inlineStr">
        <is>
          <t>ELETRICA</t>
        </is>
      </c>
      <c r="J69" s="8" t="inlineStr">
        <is>
          <t>Consumo</t>
        </is>
      </c>
      <c r="K69" s="9">
        <f>ROUND(tbConsumo[[#This Row],[Quantidade]]*tbConsumo[[#This Row],[Custo_Unitario]],2)</f>
        <v>285</v>
      </c>
      <c r="L69" s="11" t="str">
        <f>YEAR(tbConsumo[[#This Row],[Data]])&amp;"-"&amp;TEXT(MONTH(tbConsumo[[#This Row],[Data]]),"00")</f>
        <v>2026-07</v>
      </c>
    </row>
    <row r="70">
      <c r="A70" s="8" t="inlineStr">
        <is>
          <t>MOV0069</t>
        </is>
      </c>
      <c r="B70" s="13" t="n">
        <v>46204</v>
      </c>
      <c r="C70" s="8" t="inlineStr">
        <is>
          <t>MAT002</t>
        </is>
      </c>
      <c r="D70" s="8" t="inlineStr">
        <is>
          <t>Disco Flap 4,5 pol Grão 60</t>
        </is>
      </c>
      <c r="E70" s="8" t="inlineStr">
        <is>
          <t>Abrasivos</t>
        </is>
      </c>
      <c r="F70" s="11" t="n">
        <v>16</v>
      </c>
      <c r="G70" s="8" t="inlineStr">
        <is>
          <t>UN</t>
        </is>
      </c>
      <c r="H70" s="9" t="n">
        <v>7.4</v>
      </c>
      <c r="I70" s="8" t="inlineStr">
        <is>
          <t>SOLDAGEM</t>
        </is>
      </c>
      <c r="J70" s="8" t="inlineStr">
        <is>
          <t>Consumo</t>
        </is>
      </c>
      <c r="K70" s="9">
        <f>ROUND(tbConsumo[[#This Row],[Quantidade]]*tbConsumo[[#This Row],[Custo_Unitario]],2)</f>
        <v>118.4</v>
      </c>
      <c r="L70" s="11" t="str">
        <f>YEAR(tbConsumo[[#This Row],[Data]])&amp;"-"&amp;TEXT(MONTH(tbConsumo[[#This Row],[Data]]),"00")</f>
        <v>2026-07</v>
      </c>
    </row>
    <row r="71">
      <c r="A71" s="8" t="inlineStr">
        <is>
          <t>MOV0070</t>
        </is>
      </c>
      <c r="B71" s="13" t="n">
        <v>46204</v>
      </c>
      <c r="C71" s="8" t="inlineStr">
        <is>
          <t>MAT015</t>
        </is>
      </c>
      <c r="D71" s="8" t="inlineStr">
        <is>
          <t>Luva de Raspa</t>
        </is>
      </c>
      <c r="E71" s="8" t="inlineStr">
        <is>
          <t>EPI</t>
        </is>
      </c>
      <c r="F71" s="11" t="n">
        <v>6</v>
      </c>
      <c r="G71" s="8" t="inlineStr">
        <is>
          <t>PAR</t>
        </is>
      </c>
      <c r="H71" s="9" t="n">
        <v>15</v>
      </c>
      <c r="I71" s="8" t="inlineStr">
        <is>
          <t>ELETRICA</t>
        </is>
      </c>
      <c r="J71" s="8" t="inlineStr">
        <is>
          <t>Consumo</t>
        </is>
      </c>
      <c r="K71" s="9">
        <f>ROUND(tbConsumo[[#This Row],[Quantidade]]*tbConsumo[[#This Row],[Custo_Unitario]],2)</f>
        <v>90</v>
      </c>
      <c r="L71" s="11" t="str">
        <f>YEAR(tbConsumo[[#This Row],[Data]])&amp;"-"&amp;TEXT(MONTH(tbConsumo[[#This Row],[Data]]),"00")</f>
        <v>2026-07</v>
      </c>
    </row>
    <row r="72">
      <c r="A72" s="8" t="inlineStr">
        <is>
          <t>MOV0071</t>
        </is>
      </c>
      <c r="B72" s="13" t="n">
        <v>46204</v>
      </c>
      <c r="C72" s="8" t="inlineStr">
        <is>
          <t>MAT008</t>
        </is>
      </c>
      <c r="D72" s="8" t="inlineStr">
        <is>
          <t>Disco de Corte 4,5 pol</t>
        </is>
      </c>
      <c r="E72" s="8" t="inlineStr">
        <is>
          <t>Corte</t>
        </is>
      </c>
      <c r="F72" s="11" t="n">
        <v>18</v>
      </c>
      <c r="G72" s="8" t="inlineStr">
        <is>
          <t>UN</t>
        </is>
      </c>
      <c r="H72" s="9" t="n">
        <v>5.9</v>
      </c>
      <c r="I72" s="8" t="inlineStr">
        <is>
          <t>MANUTENCAO</t>
        </is>
      </c>
      <c r="J72" s="8" t="inlineStr">
        <is>
          <t>Consumo</t>
        </is>
      </c>
      <c r="K72" s="9">
        <f>ROUND(tbConsumo[[#This Row],[Quantidade]]*tbConsumo[[#This Row],[Custo_Unitario]],2)</f>
        <v>106.2</v>
      </c>
      <c r="L72" s="11" t="str">
        <f>YEAR(tbConsumo[[#This Row],[Data]])&amp;"-"&amp;TEXT(MONTH(tbConsumo[[#This Row],[Data]]),"00")</f>
        <v>2026-07</v>
      </c>
    </row>
    <row r="73">
      <c r="A73" s="8" t="inlineStr">
        <is>
          <t>MOV0072</t>
        </is>
      </c>
      <c r="B73" s="13" t="n">
        <v>46205</v>
      </c>
      <c r="C73" s="8" t="inlineStr">
        <is>
          <t>MAT015</t>
        </is>
      </c>
      <c r="D73" s="8" t="inlineStr">
        <is>
          <t>Luva de Raspa</t>
        </is>
      </c>
      <c r="E73" s="8" t="inlineStr">
        <is>
          <t>EPI</t>
        </is>
      </c>
      <c r="F73" s="11" t="n">
        <v>9</v>
      </c>
      <c r="G73" s="8" t="inlineStr">
        <is>
          <t>PAR</t>
        </is>
      </c>
      <c r="H73" s="9" t="n">
        <v>15</v>
      </c>
      <c r="I73" s="8" t="inlineStr">
        <is>
          <t>FABRICACAO</t>
        </is>
      </c>
      <c r="J73" s="8" t="inlineStr">
        <is>
          <t>Consumo</t>
        </is>
      </c>
      <c r="K73" s="9">
        <f>ROUND(tbConsumo[[#This Row],[Quantidade]]*tbConsumo[[#This Row],[Custo_Unitario]],2)</f>
        <v>135</v>
      </c>
      <c r="L73" s="11" t="str">
        <f>YEAR(tbConsumo[[#This Row],[Data]])&amp;"-"&amp;TEXT(MONTH(tbConsumo[[#This Row],[Data]]),"00")</f>
        <v>2026-07</v>
      </c>
    </row>
    <row r="74">
      <c r="A74" s="8" t="inlineStr">
        <is>
          <t>MOV0073</t>
        </is>
      </c>
      <c r="B74" s="13" t="n">
        <v>46206</v>
      </c>
      <c r="C74" s="8" t="inlineStr">
        <is>
          <t>MAT002</t>
        </is>
      </c>
      <c r="D74" s="8" t="inlineStr">
        <is>
          <t>Disco Flap 4,5 pol Grão 60</t>
        </is>
      </c>
      <c r="E74" s="8" t="inlineStr">
        <is>
          <t>Abrasivos</t>
        </is>
      </c>
      <c r="F74" s="11" t="n">
        <v>5</v>
      </c>
      <c r="G74" s="8" t="inlineStr">
        <is>
          <t>UN</t>
        </is>
      </c>
      <c r="H74" s="9" t="n">
        <v>7.4</v>
      </c>
      <c r="I74" s="8" t="inlineStr">
        <is>
          <t>FABRICACAO</t>
        </is>
      </c>
      <c r="J74" s="8" t="inlineStr">
        <is>
          <t>Consumo</t>
        </is>
      </c>
      <c r="K74" s="9">
        <f>ROUND(tbConsumo[[#This Row],[Quantidade]]*tbConsumo[[#This Row],[Custo_Unitario]],2)</f>
        <v>37</v>
      </c>
      <c r="L74" s="11" t="str">
        <f>YEAR(tbConsumo[[#This Row],[Data]])&amp;"-"&amp;TEXT(MONTH(tbConsumo[[#This Row],[Data]]),"00")</f>
        <v>2026-07</v>
      </c>
    </row>
    <row r="75">
      <c r="A75" s="8" t="inlineStr">
        <is>
          <t>MOV0074</t>
        </is>
      </c>
      <c r="B75" s="13" t="n">
        <v>46206</v>
      </c>
      <c r="C75" s="8" t="inlineStr">
        <is>
          <t>MAT001</t>
        </is>
      </c>
      <c r="D75" s="8" t="inlineStr">
        <is>
          <t>Disco de Desbaste 7 pol</t>
        </is>
      </c>
      <c r="E75" s="8" t="inlineStr">
        <is>
          <t>Abrasivos</t>
        </is>
      </c>
      <c r="F75" s="11" t="n">
        <v>8</v>
      </c>
      <c r="G75" s="8" t="inlineStr">
        <is>
          <t>UN</t>
        </is>
      </c>
      <c r="H75" s="9" t="n">
        <v>9.800000000000001</v>
      </c>
      <c r="I75" s="8" t="inlineStr">
        <is>
          <t>MECANICA</t>
        </is>
      </c>
      <c r="J75" s="8" t="inlineStr">
        <is>
          <t>Consumo</t>
        </is>
      </c>
      <c r="K75" s="9">
        <f>ROUND(tbConsumo[[#This Row],[Quantidade]]*tbConsumo[[#This Row],[Custo_Unitario]],2)</f>
        <v>78.4</v>
      </c>
      <c r="L75" s="11" t="str">
        <f>YEAR(tbConsumo[[#This Row],[Data]])&amp;"-"&amp;TEXT(MONTH(tbConsumo[[#This Row],[Data]]),"00")</f>
        <v>2026-07</v>
      </c>
    </row>
    <row r="76">
      <c r="A76" s="8" t="inlineStr">
        <is>
          <t>MOV0075</t>
        </is>
      </c>
      <c r="B76" s="13" t="n">
        <v>46206</v>
      </c>
      <c r="C76" s="8" t="inlineStr">
        <is>
          <t>MAT001</t>
        </is>
      </c>
      <c r="D76" s="8" t="inlineStr">
        <is>
          <t>Disco de Desbaste 7 pol</t>
        </is>
      </c>
      <c r="E76" s="8" t="inlineStr">
        <is>
          <t>Abrasivos</t>
        </is>
      </c>
      <c r="F76" s="11" t="n">
        <v>19</v>
      </c>
      <c r="G76" s="8" t="inlineStr">
        <is>
          <t>UN</t>
        </is>
      </c>
      <c r="H76" s="9" t="n">
        <v>9.800000000000001</v>
      </c>
      <c r="I76" s="8" t="inlineStr">
        <is>
          <t>MANUTENCAO</t>
        </is>
      </c>
      <c r="J76" s="8" t="inlineStr">
        <is>
          <t>Consumo</t>
        </is>
      </c>
      <c r="K76" s="9">
        <f>ROUND(tbConsumo[[#This Row],[Quantidade]]*tbConsumo[[#This Row],[Custo_Unitario]],2)</f>
        <v>186.2</v>
      </c>
      <c r="L76" s="11" t="str">
        <f>YEAR(tbConsumo[[#This Row],[Data]])&amp;"-"&amp;TEXT(MONTH(tbConsumo[[#This Row],[Data]]),"00")</f>
        <v>2026-07</v>
      </c>
    </row>
    <row r="77">
      <c r="A77" s="8" t="inlineStr">
        <is>
          <t>MOV0076</t>
        </is>
      </c>
      <c r="B77" s="13" t="n">
        <v>46206</v>
      </c>
      <c r="C77" s="8" t="inlineStr">
        <is>
          <t>MAT005</t>
        </is>
      </c>
      <c r="D77" s="8" t="inlineStr">
        <is>
          <t>Eletrodo Revestido 2,5 mm</t>
        </is>
      </c>
      <c r="E77" s="8" t="inlineStr">
        <is>
          <t>Soldagem</t>
        </is>
      </c>
      <c r="F77" s="11" t="n">
        <v>4</v>
      </c>
      <c r="G77" s="8" t="inlineStr">
        <is>
          <t>CX</t>
        </is>
      </c>
      <c r="H77" s="9" t="n">
        <v>96</v>
      </c>
      <c r="I77" s="8" t="inlineStr">
        <is>
          <t>SOLDAGEM</t>
        </is>
      </c>
      <c r="J77" s="8" t="inlineStr">
        <is>
          <t>Consumo</t>
        </is>
      </c>
      <c r="K77" s="9">
        <f>ROUND(tbConsumo[[#This Row],[Quantidade]]*tbConsumo[[#This Row],[Custo_Unitario]],2)</f>
        <v>384</v>
      </c>
      <c r="L77" s="11" t="str">
        <f>YEAR(tbConsumo[[#This Row],[Data]])&amp;"-"&amp;TEXT(MONTH(tbConsumo[[#This Row],[Data]]),"00")</f>
        <v>2026-07</v>
      </c>
    </row>
    <row r="78">
      <c r="A78" s="8" t="inlineStr">
        <is>
          <t>MOV0077</t>
        </is>
      </c>
      <c r="B78" s="13" t="n">
        <v>46206</v>
      </c>
      <c r="C78" s="8" t="inlineStr">
        <is>
          <t>MAT008</t>
        </is>
      </c>
      <c r="D78" s="8" t="inlineStr">
        <is>
          <t>Disco de Corte 4,5 pol</t>
        </is>
      </c>
      <c r="E78" s="8" t="inlineStr">
        <is>
          <t>Corte</t>
        </is>
      </c>
      <c r="F78" s="11" t="n">
        <v>44</v>
      </c>
      <c r="G78" s="8" t="inlineStr">
        <is>
          <t>UN</t>
        </is>
      </c>
      <c r="H78" s="9" t="n">
        <v>5.9</v>
      </c>
      <c r="I78" s="8" t="inlineStr">
        <is>
          <t>FABRICACAO</t>
        </is>
      </c>
      <c r="J78" s="8" t="inlineStr">
        <is>
          <t>Consumo</t>
        </is>
      </c>
      <c r="K78" s="9">
        <f>ROUND(tbConsumo[[#This Row],[Quantidade]]*tbConsumo[[#This Row],[Custo_Unitario]],2)</f>
        <v>259.6</v>
      </c>
      <c r="L78" s="11" t="str">
        <f>YEAR(tbConsumo[[#This Row],[Data]])&amp;"-"&amp;TEXT(MONTH(tbConsumo[[#This Row],[Data]]),"00")</f>
        <v>2026-07</v>
      </c>
    </row>
    <row r="79">
      <c r="A79" s="8" t="inlineStr">
        <is>
          <t>MOV0078</t>
        </is>
      </c>
      <c r="B79" s="13" t="n">
        <v>46206</v>
      </c>
      <c r="C79" s="8" t="inlineStr">
        <is>
          <t>MAT011</t>
        </is>
      </c>
      <c r="D79" s="8" t="inlineStr">
        <is>
          <t>Cabo Flexível 2,5 mm² Rolo</t>
        </is>
      </c>
      <c r="E79" s="8" t="inlineStr">
        <is>
          <t>Elétrica</t>
        </is>
      </c>
      <c r="F79" s="11" t="n">
        <v>2</v>
      </c>
      <c r="G79" s="8" t="inlineStr">
        <is>
          <t>UN</t>
        </is>
      </c>
      <c r="H79" s="9" t="n">
        <v>285</v>
      </c>
      <c r="I79" s="8" t="inlineStr">
        <is>
          <t>ELETRICA</t>
        </is>
      </c>
      <c r="J79" s="8" t="inlineStr">
        <is>
          <t>Consumo</t>
        </is>
      </c>
      <c r="K79" s="9">
        <f>ROUND(tbConsumo[[#This Row],[Quantidade]]*tbConsumo[[#This Row],[Custo_Unitario]],2)</f>
        <v>570</v>
      </c>
      <c r="L79" s="11" t="str">
        <f>YEAR(tbConsumo[[#This Row],[Data]])&amp;"-"&amp;TEXT(MONTH(tbConsumo[[#This Row],[Data]]),"00")</f>
        <v>2026-07</v>
      </c>
    </row>
    <row r="80">
      <c r="A80" s="8" t="inlineStr">
        <is>
          <t>MOV0079</t>
        </is>
      </c>
      <c r="B80" s="13" t="n">
        <v>46206</v>
      </c>
      <c r="C80" s="8" t="inlineStr">
        <is>
          <t>MAT003</t>
        </is>
      </c>
      <c r="D80" s="8" t="inlineStr">
        <is>
          <t>Lixa de Ferro Grão 80</t>
        </is>
      </c>
      <c r="E80" s="8" t="inlineStr">
        <is>
          <t>Abrasivos</t>
        </is>
      </c>
      <c r="F80" s="11" t="n">
        <v>2</v>
      </c>
      <c r="G80" s="8" t="inlineStr">
        <is>
          <t>PCT</t>
        </is>
      </c>
      <c r="H80" s="9" t="n">
        <v>38</v>
      </c>
      <c r="I80" s="8" t="inlineStr">
        <is>
          <t>SOLDAGEM</t>
        </is>
      </c>
      <c r="J80" s="8" t="inlineStr">
        <is>
          <t>Consumo</t>
        </is>
      </c>
      <c r="K80" s="9">
        <f>ROUND(tbConsumo[[#This Row],[Quantidade]]*tbConsumo[[#This Row],[Custo_Unitario]],2)</f>
        <v>76</v>
      </c>
      <c r="L80" s="11" t="str">
        <f>YEAR(tbConsumo[[#This Row],[Data]])&amp;"-"&amp;TEXT(MONTH(tbConsumo[[#This Row],[Data]]),"00")</f>
        <v>2026-07</v>
      </c>
    </row>
    <row r="81">
      <c r="A81" s="8" t="inlineStr">
        <is>
          <t>MOV0080</t>
        </is>
      </c>
      <c r="B81" s="13" t="n">
        <v>46206</v>
      </c>
      <c r="C81" s="8" t="inlineStr">
        <is>
          <t>MAT001</t>
        </is>
      </c>
      <c r="D81" s="8" t="inlineStr">
        <is>
          <t>Disco de Desbaste 7 pol</t>
        </is>
      </c>
      <c r="E81" s="8" t="inlineStr">
        <is>
          <t>Abrasivos</t>
        </is>
      </c>
      <c r="F81" s="11" t="n">
        <v>8</v>
      </c>
      <c r="G81" s="8" t="inlineStr">
        <is>
          <t>UN</t>
        </is>
      </c>
      <c r="H81" s="9" t="n">
        <v>9.800000000000001</v>
      </c>
      <c r="I81" s="8" t="inlineStr">
        <is>
          <t>MECANICA</t>
        </is>
      </c>
      <c r="J81" s="8" t="inlineStr">
        <is>
          <t>Consumo</t>
        </is>
      </c>
      <c r="K81" s="9">
        <f>ROUND(tbConsumo[[#This Row],[Quantidade]]*tbConsumo[[#This Row],[Custo_Unitario]],2)</f>
        <v>78.4</v>
      </c>
      <c r="L81" s="11" t="str">
        <f>YEAR(tbConsumo[[#This Row],[Data]])&amp;"-"&amp;TEXT(MONTH(tbConsumo[[#This Row],[Data]]),"00")</f>
        <v>2026-07</v>
      </c>
    </row>
    <row r="82">
      <c r="A82" s="8" t="inlineStr">
        <is>
          <t>MOV0081</t>
        </is>
      </c>
      <c r="B82" s="13" t="n">
        <v>46207</v>
      </c>
      <c r="C82" s="8" t="inlineStr">
        <is>
          <t>MAT011</t>
        </is>
      </c>
      <c r="D82" s="8" t="inlineStr">
        <is>
          <t>Cabo Flexível 2,5 mm² Rolo</t>
        </is>
      </c>
      <c r="E82" s="8" t="inlineStr">
        <is>
          <t>Elétrica</t>
        </is>
      </c>
      <c r="F82" s="11" t="n">
        <v>1</v>
      </c>
      <c r="G82" s="8" t="inlineStr">
        <is>
          <t>UN</t>
        </is>
      </c>
      <c r="H82" s="9" t="n">
        <v>285</v>
      </c>
      <c r="I82" s="8" t="inlineStr">
        <is>
          <t>MANUTENCAO</t>
        </is>
      </c>
      <c r="J82" s="8" t="inlineStr">
        <is>
          <t>Consumo</t>
        </is>
      </c>
      <c r="K82" s="9">
        <f>ROUND(tbConsumo[[#This Row],[Quantidade]]*tbConsumo[[#This Row],[Custo_Unitario]],2)</f>
        <v>285</v>
      </c>
      <c r="L82" s="11" t="str">
        <f>YEAR(tbConsumo[[#This Row],[Data]])&amp;"-"&amp;TEXT(MONTH(tbConsumo[[#This Row],[Data]]),"00")</f>
        <v>2026-07</v>
      </c>
    </row>
    <row r="83">
      <c r="A83" s="8" t="inlineStr">
        <is>
          <t>MOV0082</t>
        </is>
      </c>
      <c r="B83" s="13" t="n">
        <v>46207</v>
      </c>
      <c r="C83" s="8" t="inlineStr">
        <is>
          <t>MAT002</t>
        </is>
      </c>
      <c r="D83" s="8" t="inlineStr">
        <is>
          <t>Disco Flap 4,5 pol Grão 60</t>
        </is>
      </c>
      <c r="E83" s="8" t="inlineStr">
        <is>
          <t>Abrasivos</t>
        </is>
      </c>
      <c r="F83" s="11" t="n">
        <v>27</v>
      </c>
      <c r="G83" s="8" t="inlineStr">
        <is>
          <t>UN</t>
        </is>
      </c>
      <c r="H83" s="9" t="n">
        <v>7.4</v>
      </c>
      <c r="I83" s="8" t="inlineStr">
        <is>
          <t>MECANICA</t>
        </is>
      </c>
      <c r="J83" s="8" t="inlineStr">
        <is>
          <t>Consumo</t>
        </is>
      </c>
      <c r="K83" s="9">
        <f>ROUND(tbConsumo[[#This Row],[Quantidade]]*tbConsumo[[#This Row],[Custo_Unitario]],2)</f>
        <v>199.8</v>
      </c>
      <c r="L83" s="11" t="str">
        <f>YEAR(tbConsumo[[#This Row],[Data]])&amp;"-"&amp;TEXT(MONTH(tbConsumo[[#This Row],[Data]]),"00")</f>
        <v>2026-07</v>
      </c>
    </row>
    <row r="84">
      <c r="A84" s="8" t="inlineStr">
        <is>
          <t>MOV0083</t>
        </is>
      </c>
      <c r="B84" s="13" t="n">
        <v>46209</v>
      </c>
      <c r="C84" s="8" t="inlineStr">
        <is>
          <t>MAT001</t>
        </is>
      </c>
      <c r="D84" s="8" t="inlineStr">
        <is>
          <t>Disco de Desbaste 7 pol</t>
        </is>
      </c>
      <c r="E84" s="8" t="inlineStr">
        <is>
          <t>Abrasivos</t>
        </is>
      </c>
      <c r="F84" s="11" t="n">
        <v>8</v>
      </c>
      <c r="G84" s="8" t="inlineStr">
        <is>
          <t>UN</t>
        </is>
      </c>
      <c r="H84" s="9" t="n">
        <v>9.800000000000001</v>
      </c>
      <c r="I84" s="8" t="inlineStr">
        <is>
          <t>MECANICA</t>
        </is>
      </c>
      <c r="J84" s="8" t="inlineStr">
        <is>
          <t>Consumo</t>
        </is>
      </c>
      <c r="K84" s="9">
        <f>ROUND(tbConsumo[[#This Row],[Quantidade]]*tbConsumo[[#This Row],[Custo_Unitario]],2)</f>
        <v>78.4</v>
      </c>
      <c r="L84" s="11" t="str">
        <f>YEAR(tbConsumo[[#This Row],[Data]])&amp;"-"&amp;TEXT(MONTH(tbConsumo[[#This Row],[Data]]),"00")</f>
        <v>2026-07</v>
      </c>
    </row>
    <row r="85">
      <c r="A85" s="8" t="inlineStr">
        <is>
          <t>MOV0084</t>
        </is>
      </c>
      <c r="B85" s="13" t="n">
        <v>46209</v>
      </c>
      <c r="C85" s="8" t="inlineStr">
        <is>
          <t>MAT007</t>
        </is>
      </c>
      <c r="D85" s="8" t="inlineStr">
        <is>
          <t>Disco de Corte 7 pol</t>
        </is>
      </c>
      <c r="E85" s="8" t="inlineStr">
        <is>
          <t>Corte</t>
        </is>
      </c>
      <c r="F85" s="11" t="n">
        <v>26</v>
      </c>
      <c r="G85" s="8" t="inlineStr">
        <is>
          <t>UN</t>
        </is>
      </c>
      <c r="H85" s="9" t="n">
        <v>12.5</v>
      </c>
      <c r="I85" s="8" t="inlineStr">
        <is>
          <t>MECANICA</t>
        </is>
      </c>
      <c r="J85" s="8" t="inlineStr">
        <is>
          <t>Consumo</t>
        </is>
      </c>
      <c r="K85" s="9">
        <f>ROUND(tbConsumo[[#This Row],[Quantidade]]*tbConsumo[[#This Row],[Custo_Unitario]],2)</f>
        <v>325</v>
      </c>
      <c r="L85" s="11" t="str">
        <f>YEAR(tbConsumo[[#This Row],[Data]])&amp;"-"&amp;TEXT(MONTH(tbConsumo[[#This Row],[Data]]),"00")</f>
        <v>2026-07</v>
      </c>
    </row>
    <row r="86">
      <c r="A86" s="8" t="inlineStr">
        <is>
          <t>MOV0085</t>
        </is>
      </c>
      <c r="B86" s="13" t="n">
        <v>46210</v>
      </c>
      <c r="C86" s="8" t="inlineStr">
        <is>
          <t>MAT020</t>
        </is>
      </c>
      <c r="D86" s="8" t="inlineStr">
        <is>
          <t>Broca de Aço Rápido 10 mm</t>
        </is>
      </c>
      <c r="E86" s="8" t="inlineStr">
        <is>
          <t>Ferramentas</t>
        </is>
      </c>
      <c r="F86" s="11" t="n">
        <v>1</v>
      </c>
      <c r="G86" s="8" t="inlineStr">
        <is>
          <t>UN</t>
        </is>
      </c>
      <c r="H86" s="9" t="n">
        <v>21</v>
      </c>
      <c r="I86" s="8" t="inlineStr">
        <is>
          <t>MECANICA</t>
        </is>
      </c>
      <c r="J86" s="8" t="inlineStr">
        <is>
          <t>Consumo</t>
        </is>
      </c>
      <c r="K86" s="9">
        <f>ROUND(tbConsumo[[#This Row],[Quantidade]]*tbConsumo[[#This Row],[Custo_Unitario]],2)</f>
        <v>21</v>
      </c>
      <c r="L86" s="11" t="str">
        <f>YEAR(tbConsumo[[#This Row],[Data]])&amp;"-"&amp;TEXT(MONTH(tbConsumo[[#This Row],[Data]]),"00")</f>
        <v>2026-07</v>
      </c>
    </row>
    <row r="87">
      <c r="A87" s="8" t="inlineStr">
        <is>
          <t>MOV0086</t>
        </is>
      </c>
      <c r="B87" s="13" t="n">
        <v>46210</v>
      </c>
      <c r="C87" s="8" t="inlineStr">
        <is>
          <t>MAT003</t>
        </is>
      </c>
      <c r="D87" s="8" t="inlineStr">
        <is>
          <t>Lixa de Ferro Grão 80</t>
        </is>
      </c>
      <c r="E87" s="8" t="inlineStr">
        <is>
          <t>Abrasivos</t>
        </is>
      </c>
      <c r="F87" s="11" t="n">
        <v>1</v>
      </c>
      <c r="G87" s="8" t="inlineStr">
        <is>
          <t>PCT</t>
        </is>
      </c>
      <c r="H87" s="9" t="n">
        <v>38</v>
      </c>
      <c r="I87" s="8" t="inlineStr">
        <is>
          <t>MANUTENCAO</t>
        </is>
      </c>
      <c r="J87" s="8" t="inlineStr">
        <is>
          <t>Consumo</t>
        </is>
      </c>
      <c r="K87" s="9">
        <f>ROUND(tbConsumo[[#This Row],[Quantidade]]*tbConsumo[[#This Row],[Custo_Unitario]],2)</f>
        <v>38</v>
      </c>
      <c r="L87" s="11" t="str">
        <f>YEAR(tbConsumo[[#This Row],[Data]])&amp;"-"&amp;TEXT(MONTH(tbConsumo[[#This Row],[Data]]),"00")</f>
        <v>2026-07</v>
      </c>
    </row>
    <row r="88">
      <c r="A88" s="8" t="inlineStr">
        <is>
          <t>MOV0087</t>
        </is>
      </c>
      <c r="B88" s="13" t="n">
        <v>46211</v>
      </c>
      <c r="C88" s="8" t="inlineStr">
        <is>
          <t>MAT020</t>
        </is>
      </c>
      <c r="D88" s="8" t="inlineStr">
        <is>
          <t>Broca de Aço Rápido 10 mm</t>
        </is>
      </c>
      <c r="E88" s="8" t="inlineStr">
        <is>
          <t>Ferramentas</t>
        </is>
      </c>
      <c r="F88" s="11" t="n">
        <v>4</v>
      </c>
      <c r="G88" s="8" t="inlineStr">
        <is>
          <t>UN</t>
        </is>
      </c>
      <c r="H88" s="9" t="n">
        <v>21</v>
      </c>
      <c r="I88" s="8" t="inlineStr">
        <is>
          <t>MANUTENCAO</t>
        </is>
      </c>
      <c r="J88" s="8" t="inlineStr">
        <is>
          <t>Consumo</t>
        </is>
      </c>
      <c r="K88" s="9">
        <f>ROUND(tbConsumo[[#This Row],[Quantidade]]*tbConsumo[[#This Row],[Custo_Unitario]],2)</f>
        <v>84</v>
      </c>
      <c r="L88" s="11" t="str">
        <f>YEAR(tbConsumo[[#This Row],[Data]])&amp;"-"&amp;TEXT(MONTH(tbConsumo[[#This Row],[Data]]),"00")</f>
        <v>2026-07</v>
      </c>
    </row>
    <row r="89">
      <c r="A89" s="8" t="inlineStr">
        <is>
          <t>MOV0088</t>
        </is>
      </c>
      <c r="B89" s="13" t="n">
        <v>46212</v>
      </c>
      <c r="C89" s="8" t="inlineStr">
        <is>
          <t>MAT004</t>
        </is>
      </c>
      <c r="D89" s="8" t="inlineStr">
        <is>
          <t>Bico de Contato MIG 1,0 mm</t>
        </is>
      </c>
      <c r="E89" s="8" t="inlineStr">
        <is>
          <t>Soldagem</t>
        </is>
      </c>
      <c r="F89" s="11" t="n">
        <v>3</v>
      </c>
      <c r="G89" s="8" t="inlineStr">
        <is>
          <t>PCT</t>
        </is>
      </c>
      <c r="H89" s="9" t="n">
        <v>45</v>
      </c>
      <c r="I89" s="8" t="inlineStr">
        <is>
          <t>FABRICACAO</t>
        </is>
      </c>
      <c r="J89" s="8" t="inlineStr">
        <is>
          <t>Consumo</t>
        </is>
      </c>
      <c r="K89" s="9">
        <f>ROUND(tbConsumo[[#This Row],[Quantidade]]*tbConsumo[[#This Row],[Custo_Unitario]],2)</f>
        <v>135</v>
      </c>
      <c r="L89" s="11" t="str">
        <f>YEAR(tbConsumo[[#This Row],[Data]])&amp;"-"&amp;TEXT(MONTH(tbConsumo[[#This Row],[Data]]),"00")</f>
        <v>2026-07</v>
      </c>
    </row>
    <row r="90">
      <c r="A90" s="8" t="inlineStr">
        <is>
          <t>MOV0089</t>
        </is>
      </c>
      <c r="B90" s="13" t="n">
        <v>46212</v>
      </c>
      <c r="C90" s="8" t="inlineStr">
        <is>
          <t>MAT004</t>
        </is>
      </c>
      <c r="D90" s="8" t="inlineStr">
        <is>
          <t>Bico de Contato MIG 1,0 mm</t>
        </is>
      </c>
      <c r="E90" s="8" t="inlineStr">
        <is>
          <t>Soldagem</t>
        </is>
      </c>
      <c r="F90" s="11" t="n">
        <v>2</v>
      </c>
      <c r="G90" s="8" t="inlineStr">
        <is>
          <t>PCT</t>
        </is>
      </c>
      <c r="H90" s="9" t="n">
        <v>45</v>
      </c>
      <c r="I90" s="8" t="inlineStr">
        <is>
          <t>FABRICACAO</t>
        </is>
      </c>
      <c r="J90" s="8" t="inlineStr">
        <is>
          <t>Consumo</t>
        </is>
      </c>
      <c r="K90" s="9">
        <f>ROUND(tbConsumo[[#This Row],[Quantidade]]*tbConsumo[[#This Row],[Custo_Unitario]],2)</f>
        <v>90</v>
      </c>
      <c r="L90" s="11" t="str">
        <f>YEAR(tbConsumo[[#This Row],[Data]])&amp;"-"&amp;TEXT(MONTH(tbConsumo[[#This Row],[Data]]),"00")</f>
        <v>2026-07</v>
      </c>
    </row>
    <row r="91">
      <c r="A91" s="8" t="inlineStr">
        <is>
          <t>MOV0090</t>
        </is>
      </c>
      <c r="B91" s="13" t="n">
        <v>46212</v>
      </c>
      <c r="C91" s="8" t="inlineStr">
        <is>
          <t>MAT007</t>
        </is>
      </c>
      <c r="D91" s="8" t="inlineStr">
        <is>
          <t>Disco de Corte 7 pol</t>
        </is>
      </c>
      <c r="E91" s="8" t="inlineStr">
        <is>
          <t>Corte</t>
        </is>
      </c>
      <c r="F91" s="11" t="n">
        <v>20</v>
      </c>
      <c r="G91" s="8" t="inlineStr">
        <is>
          <t>UN</t>
        </is>
      </c>
      <c r="H91" s="9" t="n">
        <v>12.5</v>
      </c>
      <c r="I91" s="8" t="inlineStr">
        <is>
          <t>MANUTENCAO</t>
        </is>
      </c>
      <c r="J91" s="8" t="inlineStr">
        <is>
          <t>Consumo</t>
        </is>
      </c>
      <c r="K91" s="9">
        <f>ROUND(tbConsumo[[#This Row],[Quantidade]]*tbConsumo[[#This Row],[Custo_Unitario]],2)</f>
        <v>250</v>
      </c>
      <c r="L91" s="11" t="str">
        <f>YEAR(tbConsumo[[#This Row],[Data]])&amp;"-"&amp;TEXT(MONTH(tbConsumo[[#This Row],[Data]]),"00")</f>
        <v>2026-07</v>
      </c>
    </row>
    <row r="92">
      <c r="A92" s="8" t="inlineStr">
        <is>
          <t>MOV0091</t>
        </is>
      </c>
      <c r="B92" s="13" t="n">
        <v>46212</v>
      </c>
      <c r="C92" s="8" t="inlineStr">
        <is>
          <t>MAT004</t>
        </is>
      </c>
      <c r="D92" s="8" t="inlineStr">
        <is>
          <t>Bico de Contato MIG 1,0 mm</t>
        </is>
      </c>
      <c r="E92" s="8" t="inlineStr">
        <is>
          <t>Soldagem</t>
        </is>
      </c>
      <c r="F92" s="11" t="n">
        <v>3</v>
      </c>
      <c r="G92" s="8" t="inlineStr">
        <is>
          <t>PCT</t>
        </is>
      </c>
      <c r="H92" s="9" t="n">
        <v>45</v>
      </c>
      <c r="I92" s="8" t="inlineStr">
        <is>
          <t>SOLDAGEM</t>
        </is>
      </c>
      <c r="J92" s="8" t="inlineStr">
        <is>
          <t>Consumo</t>
        </is>
      </c>
      <c r="K92" s="9">
        <f>ROUND(tbConsumo[[#This Row],[Quantidade]]*tbConsumo[[#This Row],[Custo_Unitario]],2)</f>
        <v>135</v>
      </c>
      <c r="L92" s="11" t="str">
        <f>YEAR(tbConsumo[[#This Row],[Data]])&amp;"-"&amp;TEXT(MONTH(tbConsumo[[#This Row],[Data]]),"00")</f>
        <v>2026-07</v>
      </c>
    </row>
    <row r="93">
      <c r="A93" s="8" t="inlineStr">
        <is>
          <t>MOV0092</t>
        </is>
      </c>
      <c r="B93" s="13" t="n">
        <v>46212</v>
      </c>
      <c r="C93" s="8" t="inlineStr">
        <is>
          <t>MAT005</t>
        </is>
      </c>
      <c r="D93" s="8" t="inlineStr">
        <is>
          <t>Eletrodo Revestido 2,5 mm</t>
        </is>
      </c>
      <c r="E93" s="8" t="inlineStr">
        <is>
          <t>Soldagem</t>
        </is>
      </c>
      <c r="F93" s="11" t="n">
        <v>1</v>
      </c>
      <c r="G93" s="8" t="inlineStr">
        <is>
          <t>CX</t>
        </is>
      </c>
      <c r="H93" s="9" t="n">
        <v>96</v>
      </c>
      <c r="I93" s="8" t="inlineStr">
        <is>
          <t>SOLDAGEM</t>
        </is>
      </c>
      <c r="J93" s="8" t="inlineStr">
        <is>
          <t>Consumo</t>
        </is>
      </c>
      <c r="K93" s="9">
        <f>ROUND(tbConsumo[[#This Row],[Quantidade]]*tbConsumo[[#This Row],[Custo_Unitario]],2)</f>
        <v>96</v>
      </c>
      <c r="L93" s="11" t="str">
        <f>YEAR(tbConsumo[[#This Row],[Data]])&amp;"-"&amp;TEXT(MONTH(tbConsumo[[#This Row],[Data]]),"00")</f>
        <v>2026-07</v>
      </c>
    </row>
    <row r="94">
      <c r="A94" s="8" t="inlineStr">
        <is>
          <t>MOV0093</t>
        </is>
      </c>
      <c r="B94" s="13" t="n">
        <v>46213</v>
      </c>
      <c r="C94" s="8" t="inlineStr">
        <is>
          <t>MAT015</t>
        </is>
      </c>
      <c r="D94" s="8" t="inlineStr">
        <is>
          <t>Luva de Raspa</t>
        </is>
      </c>
      <c r="E94" s="8" t="inlineStr">
        <is>
          <t>EPI</t>
        </is>
      </c>
      <c r="F94" s="11" t="n">
        <v>2</v>
      </c>
      <c r="G94" s="8" t="inlineStr">
        <is>
          <t>PAR</t>
        </is>
      </c>
      <c r="H94" s="9" t="n">
        <v>15</v>
      </c>
      <c r="I94" s="8" t="inlineStr">
        <is>
          <t>MECANICA</t>
        </is>
      </c>
      <c r="J94" s="8" t="inlineStr">
        <is>
          <t>Consumo</t>
        </is>
      </c>
      <c r="K94" s="9">
        <f>ROUND(tbConsumo[[#This Row],[Quantidade]]*tbConsumo[[#This Row],[Custo_Unitario]],2)</f>
        <v>30</v>
      </c>
      <c r="L94" s="11" t="str">
        <f>YEAR(tbConsumo[[#This Row],[Data]])&amp;"-"&amp;TEXT(MONTH(tbConsumo[[#This Row],[Data]]),"00")</f>
        <v>2026-07</v>
      </c>
    </row>
    <row r="95">
      <c r="A95" s="8" t="inlineStr">
        <is>
          <t>MOV0094</t>
        </is>
      </c>
      <c r="B95" s="13" t="n">
        <v>46213</v>
      </c>
      <c r="C95" s="8" t="inlineStr">
        <is>
          <t>MAT008</t>
        </is>
      </c>
      <c r="D95" s="8" t="inlineStr">
        <is>
          <t>Disco de Corte 4,5 pol</t>
        </is>
      </c>
      <c r="E95" s="8" t="inlineStr">
        <is>
          <t>Corte</t>
        </is>
      </c>
      <c r="F95" s="11" t="n">
        <v>15</v>
      </c>
      <c r="G95" s="8" t="inlineStr">
        <is>
          <t>UN</t>
        </is>
      </c>
      <c r="H95" s="9" t="n">
        <v>5.9</v>
      </c>
      <c r="I95" s="8" t="inlineStr">
        <is>
          <t>MANUTENCAO</t>
        </is>
      </c>
      <c r="J95" s="8" t="inlineStr">
        <is>
          <t>Consumo</t>
        </is>
      </c>
      <c r="K95" s="9">
        <f>ROUND(tbConsumo[[#This Row],[Quantidade]]*tbConsumo[[#This Row],[Custo_Unitario]],2)</f>
        <v>88.5</v>
      </c>
      <c r="L95" s="11" t="str">
        <f>YEAR(tbConsumo[[#This Row],[Data]])&amp;"-"&amp;TEXT(MONTH(tbConsumo[[#This Row],[Data]]),"00")</f>
        <v>2026-07</v>
      </c>
    </row>
    <row r="96">
      <c r="A96" s="8" t="inlineStr">
        <is>
          <t>MOV0095</t>
        </is>
      </c>
      <c r="B96" s="13" t="n">
        <v>46213</v>
      </c>
      <c r="C96" s="8" t="inlineStr">
        <is>
          <t>MAT005</t>
        </is>
      </c>
      <c r="D96" s="8" t="inlineStr">
        <is>
          <t>Eletrodo Revestido 2,5 mm</t>
        </is>
      </c>
      <c r="E96" s="8" t="inlineStr">
        <is>
          <t>Soldagem</t>
        </is>
      </c>
      <c r="F96" s="11" t="n">
        <v>2</v>
      </c>
      <c r="G96" s="8" t="inlineStr">
        <is>
          <t>CX</t>
        </is>
      </c>
      <c r="H96" s="9" t="n">
        <v>96</v>
      </c>
      <c r="I96" s="8" t="inlineStr">
        <is>
          <t>MANUTENCAO</t>
        </is>
      </c>
      <c r="J96" s="8" t="inlineStr">
        <is>
          <t>Consumo</t>
        </is>
      </c>
      <c r="K96" s="9">
        <f>ROUND(tbConsumo[[#This Row],[Quantidade]]*tbConsumo[[#This Row],[Custo_Unitario]],2)</f>
        <v>192</v>
      </c>
      <c r="L96" s="11" t="str">
        <f>YEAR(tbConsumo[[#This Row],[Data]])&amp;"-"&amp;TEXT(MONTH(tbConsumo[[#This Row],[Data]]),"00")</f>
        <v>2026-07</v>
      </c>
    </row>
    <row r="97">
      <c r="A97" s="8" t="inlineStr">
        <is>
          <t>MOV0096</t>
        </is>
      </c>
      <c r="B97" s="13" t="n">
        <v>46216</v>
      </c>
      <c r="C97" s="8" t="inlineStr">
        <is>
          <t>MAT013</t>
        </is>
      </c>
      <c r="D97" s="8" t="inlineStr">
        <is>
          <t>Terminal de Compressão 6 mm²</t>
        </is>
      </c>
      <c r="E97" s="8" t="inlineStr">
        <is>
          <t>Elétrica</t>
        </is>
      </c>
      <c r="F97" s="11" t="n">
        <v>1</v>
      </c>
      <c r="G97" s="8" t="inlineStr">
        <is>
          <t>PCT</t>
        </is>
      </c>
      <c r="H97" s="9" t="n">
        <v>28</v>
      </c>
      <c r="I97" s="8" t="inlineStr">
        <is>
          <t>MANUTENCAO</t>
        </is>
      </c>
      <c r="J97" s="8" t="inlineStr">
        <is>
          <t>Consumo</t>
        </is>
      </c>
      <c r="K97" s="9">
        <f>ROUND(tbConsumo[[#This Row],[Quantidade]]*tbConsumo[[#This Row],[Custo_Unitario]],2)</f>
        <v>28</v>
      </c>
      <c r="L97" s="11" t="str">
        <f>YEAR(tbConsumo[[#This Row],[Data]])&amp;"-"&amp;TEXT(MONTH(tbConsumo[[#This Row],[Data]]),"00")</f>
        <v>2026-07</v>
      </c>
    </row>
    <row r="98">
      <c r="A98" s="8" t="inlineStr">
        <is>
          <t>MOV0097</t>
        </is>
      </c>
      <c r="B98" s="13" t="n">
        <v>46216</v>
      </c>
      <c r="C98" s="8" t="inlineStr">
        <is>
          <t>MAT015</t>
        </is>
      </c>
      <c r="D98" s="8" t="inlineStr">
        <is>
          <t>Luva de Raspa</t>
        </is>
      </c>
      <c r="E98" s="8" t="inlineStr">
        <is>
          <t>EPI</t>
        </is>
      </c>
      <c r="F98" s="11" t="n">
        <v>7</v>
      </c>
      <c r="G98" s="8" t="inlineStr">
        <is>
          <t>PAR</t>
        </is>
      </c>
      <c r="H98" s="9" t="n">
        <v>15</v>
      </c>
      <c r="I98" s="8" t="inlineStr">
        <is>
          <t>SOLDAGEM</t>
        </is>
      </c>
      <c r="J98" s="8" t="inlineStr">
        <is>
          <t>Consumo</t>
        </is>
      </c>
      <c r="K98" s="9">
        <f>ROUND(tbConsumo[[#This Row],[Quantidade]]*tbConsumo[[#This Row],[Custo_Unitario]],2)</f>
        <v>105</v>
      </c>
      <c r="L98" s="11" t="str">
        <f>YEAR(tbConsumo[[#This Row],[Data]])&amp;"-"&amp;TEXT(MONTH(tbConsumo[[#This Row],[Data]]),"00")</f>
        <v>2026-07</v>
      </c>
    </row>
    <row r="99">
      <c r="A99" s="8" t="inlineStr">
        <is>
          <t>MOV0098</t>
        </is>
      </c>
      <c r="B99" s="13" t="n">
        <v>46217</v>
      </c>
      <c r="C99" s="8" t="inlineStr">
        <is>
          <t>MAT003</t>
        </is>
      </c>
      <c r="D99" s="8" t="inlineStr">
        <is>
          <t>Lixa de Ferro Grão 80</t>
        </is>
      </c>
      <c r="E99" s="8" t="inlineStr">
        <is>
          <t>Abrasivos</t>
        </is>
      </c>
      <c r="F99" s="11" t="n">
        <v>3</v>
      </c>
      <c r="G99" s="8" t="inlineStr">
        <is>
          <t>PCT</t>
        </is>
      </c>
      <c r="H99" s="9" t="n">
        <v>38</v>
      </c>
      <c r="I99" s="8" t="inlineStr">
        <is>
          <t>SOLDAGEM</t>
        </is>
      </c>
      <c r="J99" s="8" t="inlineStr">
        <is>
          <t>Consumo</t>
        </is>
      </c>
      <c r="K99" s="9">
        <f>ROUND(tbConsumo[[#This Row],[Quantidade]]*tbConsumo[[#This Row],[Custo_Unitario]],2)</f>
        <v>114</v>
      </c>
      <c r="L99" s="11" t="str">
        <f>YEAR(tbConsumo[[#This Row],[Data]])&amp;"-"&amp;TEXT(MONTH(tbConsumo[[#This Row],[Data]]),"00")</f>
        <v>2026-07</v>
      </c>
    </row>
    <row r="100">
      <c r="A100" s="8" t="inlineStr">
        <is>
          <t>MOV0099</t>
        </is>
      </c>
      <c r="B100" s="13" t="n">
        <v>46218</v>
      </c>
      <c r="C100" s="8" t="inlineStr">
        <is>
          <t>MAT016</t>
        </is>
      </c>
      <c r="D100" s="8" t="inlineStr">
        <is>
          <t>Óculos de Proteção Incolor</t>
        </is>
      </c>
      <c r="E100" s="8" t="inlineStr">
        <is>
          <t>EPI</t>
        </is>
      </c>
      <c r="F100" s="11" t="n">
        <v>6</v>
      </c>
      <c r="G100" s="8" t="inlineStr">
        <is>
          <t>UN</t>
        </is>
      </c>
      <c r="H100" s="9" t="n">
        <v>6.5</v>
      </c>
      <c r="I100" s="8" t="inlineStr">
        <is>
          <t>MANUTENCAO</t>
        </is>
      </c>
      <c r="J100" s="8" t="inlineStr">
        <is>
          <t>Consumo</t>
        </is>
      </c>
      <c r="K100" s="9">
        <f>ROUND(tbConsumo[[#This Row],[Quantidade]]*tbConsumo[[#This Row],[Custo_Unitario]],2)</f>
        <v>39</v>
      </c>
      <c r="L100" s="11" t="str">
        <f>YEAR(tbConsumo[[#This Row],[Data]])&amp;"-"&amp;TEXT(MONTH(tbConsumo[[#This Row],[Data]]),"00")</f>
        <v>2026-07</v>
      </c>
    </row>
    <row r="101">
      <c r="A101" s="8" t="inlineStr">
        <is>
          <t>MOV0100</t>
        </is>
      </c>
      <c r="B101" s="13" t="n">
        <v>46218</v>
      </c>
      <c r="C101" s="8" t="inlineStr">
        <is>
          <t>MAT003</t>
        </is>
      </c>
      <c r="D101" s="8" t="inlineStr">
        <is>
          <t>Lixa de Ferro Grão 80</t>
        </is>
      </c>
      <c r="E101" s="8" t="inlineStr">
        <is>
          <t>Abrasivos</t>
        </is>
      </c>
      <c r="F101" s="11" t="n">
        <v>3</v>
      </c>
      <c r="G101" s="8" t="inlineStr">
        <is>
          <t>PCT</t>
        </is>
      </c>
      <c r="H101" s="9" t="n">
        <v>38</v>
      </c>
      <c r="I101" s="8" t="inlineStr">
        <is>
          <t>SOLDAGEM</t>
        </is>
      </c>
      <c r="J101" s="8" t="inlineStr">
        <is>
          <t>Consumo</t>
        </is>
      </c>
      <c r="K101" s="9">
        <f>ROUND(tbConsumo[[#This Row],[Quantidade]]*tbConsumo[[#This Row],[Custo_Unitario]],2)</f>
        <v>114</v>
      </c>
      <c r="L101" s="11" t="str">
        <f>YEAR(tbConsumo[[#This Row],[Data]])&amp;"-"&amp;TEXT(MONTH(tbConsumo[[#This Row],[Data]]),"00")</f>
        <v>2026-07</v>
      </c>
    </row>
    <row r="102">
      <c r="A102" s="8" t="inlineStr">
        <is>
          <t>MOV0101</t>
        </is>
      </c>
      <c r="B102" s="13" t="n">
        <v>46219</v>
      </c>
      <c r="C102" s="8" t="inlineStr">
        <is>
          <t>MAT008</t>
        </is>
      </c>
      <c r="D102" s="8" t="inlineStr">
        <is>
          <t>Disco de Corte 4,5 pol</t>
        </is>
      </c>
      <c r="E102" s="8" t="inlineStr">
        <is>
          <t>Corte</t>
        </is>
      </c>
      <c r="F102" s="11" t="n">
        <v>33</v>
      </c>
      <c r="G102" s="8" t="inlineStr">
        <is>
          <t>UN</t>
        </is>
      </c>
      <c r="H102" s="9" t="n">
        <v>5.9</v>
      </c>
      <c r="I102" s="8" t="inlineStr">
        <is>
          <t>FABRICACAO</t>
        </is>
      </c>
      <c r="J102" s="8" t="inlineStr">
        <is>
          <t>Consumo</t>
        </is>
      </c>
      <c r="K102" s="9">
        <f>ROUND(tbConsumo[[#This Row],[Quantidade]]*tbConsumo[[#This Row],[Custo_Unitario]],2)</f>
        <v>194.7</v>
      </c>
      <c r="L102" s="11" t="str">
        <f>YEAR(tbConsumo[[#This Row],[Data]])&amp;"-"&amp;TEXT(MONTH(tbConsumo[[#This Row],[Data]]),"00")</f>
        <v>2026-07</v>
      </c>
    </row>
    <row r="103">
      <c r="A103" s="8" t="inlineStr">
        <is>
          <t>MOV0102</t>
        </is>
      </c>
      <c r="B103" s="13" t="n">
        <v>46219</v>
      </c>
      <c r="C103" s="8" t="inlineStr">
        <is>
          <t>MAT008</t>
        </is>
      </c>
      <c r="D103" s="8" t="inlineStr">
        <is>
          <t>Disco de Corte 4,5 pol</t>
        </is>
      </c>
      <c r="E103" s="8" t="inlineStr">
        <is>
          <t>Corte</t>
        </is>
      </c>
      <c r="F103" s="11" t="n">
        <v>16</v>
      </c>
      <c r="G103" s="8" t="inlineStr">
        <is>
          <t>UN</t>
        </is>
      </c>
      <c r="H103" s="9" t="n">
        <v>5.9</v>
      </c>
      <c r="I103" s="8" t="inlineStr">
        <is>
          <t>SOLDAGEM</t>
        </is>
      </c>
      <c r="J103" s="8" t="inlineStr">
        <is>
          <t>Consumo</t>
        </is>
      </c>
      <c r="K103" s="9">
        <f>ROUND(tbConsumo[[#This Row],[Quantidade]]*tbConsumo[[#This Row],[Custo_Unitario]],2)</f>
        <v>94.4</v>
      </c>
      <c r="L103" s="11" t="str">
        <f>YEAR(tbConsumo[[#This Row],[Data]])&amp;"-"&amp;TEXT(MONTH(tbConsumo[[#This Row],[Data]]),"00")</f>
        <v>2026-07</v>
      </c>
    </row>
    <row r="104">
      <c r="A104" s="8" t="inlineStr">
        <is>
          <t>MOV0103</t>
        </is>
      </c>
      <c r="B104" s="13" t="n">
        <v>46219</v>
      </c>
      <c r="C104" s="8" t="inlineStr">
        <is>
          <t>MAT015</t>
        </is>
      </c>
      <c r="D104" s="8" t="inlineStr">
        <is>
          <t>Luva de Raspa</t>
        </is>
      </c>
      <c r="E104" s="8" t="inlineStr">
        <is>
          <t>EPI</t>
        </is>
      </c>
      <c r="F104" s="11" t="n">
        <v>3</v>
      </c>
      <c r="G104" s="8" t="inlineStr">
        <is>
          <t>PAR</t>
        </is>
      </c>
      <c r="H104" s="9" t="n">
        <v>15</v>
      </c>
      <c r="I104" s="8" t="inlineStr">
        <is>
          <t>MANUTENCAO</t>
        </is>
      </c>
      <c r="J104" s="8" t="inlineStr">
        <is>
          <t>Consumo</t>
        </is>
      </c>
      <c r="K104" s="9">
        <f>ROUND(tbConsumo[[#This Row],[Quantidade]]*tbConsumo[[#This Row],[Custo_Unitario]],2)</f>
        <v>45</v>
      </c>
      <c r="L104" s="11" t="str">
        <f>YEAR(tbConsumo[[#This Row],[Data]])&amp;"-"&amp;TEXT(MONTH(tbConsumo[[#This Row],[Data]]),"00")</f>
        <v>2026-07</v>
      </c>
    </row>
    <row r="105">
      <c r="A105" s="8" t="inlineStr">
        <is>
          <t>MOV0104</t>
        </is>
      </c>
      <c r="B105" s="13" t="n">
        <v>46219</v>
      </c>
      <c r="C105" s="8" t="inlineStr">
        <is>
          <t>MAT005</t>
        </is>
      </c>
      <c r="D105" s="8" t="inlineStr">
        <is>
          <t>Eletrodo Revestido 2,5 mm</t>
        </is>
      </c>
      <c r="E105" s="8" t="inlineStr">
        <is>
          <t>Soldagem</t>
        </is>
      </c>
      <c r="F105" s="11" t="n">
        <v>3</v>
      </c>
      <c r="G105" s="8" t="inlineStr">
        <is>
          <t>CX</t>
        </is>
      </c>
      <c r="H105" s="9" t="n">
        <v>96</v>
      </c>
      <c r="I105" s="8" t="inlineStr">
        <is>
          <t>SOLDAGEM</t>
        </is>
      </c>
      <c r="J105" s="8" t="inlineStr">
        <is>
          <t>Consumo</t>
        </is>
      </c>
      <c r="K105" s="9">
        <f>ROUND(tbConsumo[[#This Row],[Quantidade]]*tbConsumo[[#This Row],[Custo_Unitario]],2)</f>
        <v>288</v>
      </c>
      <c r="L105" s="11" t="str">
        <f>YEAR(tbConsumo[[#This Row],[Data]])&amp;"-"&amp;TEXT(MONTH(tbConsumo[[#This Row],[Data]]),"00")</f>
        <v>2026-07</v>
      </c>
    </row>
    <row r="106">
      <c r="A106" s="8" t="inlineStr">
        <is>
          <t>MOV0105</t>
        </is>
      </c>
      <c r="B106" s="13" t="n">
        <v>46219</v>
      </c>
      <c r="C106" s="8" t="inlineStr">
        <is>
          <t>MAT012</t>
        </is>
      </c>
      <c r="D106" s="8" t="inlineStr">
        <is>
          <t>Fita Isolante 19 mm</t>
        </is>
      </c>
      <c r="E106" s="8" t="inlineStr">
        <is>
          <t>Elétrica</t>
        </is>
      </c>
      <c r="F106" s="11" t="n">
        <v>1</v>
      </c>
      <c r="G106" s="8" t="inlineStr">
        <is>
          <t>PCT</t>
        </is>
      </c>
      <c r="H106" s="9" t="n">
        <v>42</v>
      </c>
      <c r="I106" s="8" t="inlineStr">
        <is>
          <t>MANUTENCAO</t>
        </is>
      </c>
      <c r="J106" s="8" t="inlineStr">
        <is>
          <t>Consumo</t>
        </is>
      </c>
      <c r="K106" s="9">
        <f>ROUND(tbConsumo[[#This Row],[Quantidade]]*tbConsumo[[#This Row],[Custo_Unitario]],2)</f>
        <v>42</v>
      </c>
      <c r="L106" s="11" t="str">
        <f>YEAR(tbConsumo[[#This Row],[Data]])&amp;"-"&amp;TEXT(MONTH(tbConsumo[[#This Row],[Data]]),"00")</f>
        <v>2026-07</v>
      </c>
    </row>
    <row r="107">
      <c r="A107" s="8" t="inlineStr">
        <is>
          <t>MOV0106</t>
        </is>
      </c>
      <c r="B107" s="13" t="n">
        <v>46220</v>
      </c>
      <c r="C107" s="8" t="inlineStr">
        <is>
          <t>MAT014</t>
        </is>
      </c>
      <c r="D107" s="8" t="inlineStr">
        <is>
          <t>Disjuntor Tripolar 32 A</t>
        </is>
      </c>
      <c r="E107" s="8" t="inlineStr">
        <is>
          <t>Elétrica</t>
        </is>
      </c>
      <c r="F107" s="11" t="n">
        <v>1</v>
      </c>
      <c r="G107" s="8" t="inlineStr">
        <is>
          <t>UN</t>
        </is>
      </c>
      <c r="H107" s="9" t="n">
        <v>118</v>
      </c>
      <c r="I107" s="8" t="inlineStr">
        <is>
          <t>ELETRICA</t>
        </is>
      </c>
      <c r="J107" s="8" t="inlineStr">
        <is>
          <t>Consumo</t>
        </is>
      </c>
      <c r="K107" s="9">
        <f>ROUND(tbConsumo[[#This Row],[Quantidade]]*tbConsumo[[#This Row],[Custo_Unitario]],2)</f>
        <v>118</v>
      </c>
      <c r="L107" s="11" t="str">
        <f>YEAR(tbConsumo[[#This Row],[Data]])&amp;"-"&amp;TEXT(MONTH(tbConsumo[[#This Row],[Data]]),"00")</f>
        <v>2026-07</v>
      </c>
    </row>
    <row r="108">
      <c r="A108" s="8" t="inlineStr">
        <is>
          <t>MOV0107</t>
        </is>
      </c>
      <c r="B108" s="13" t="n">
        <v>46220</v>
      </c>
      <c r="C108" s="8" t="inlineStr">
        <is>
          <t>MAT005</t>
        </is>
      </c>
      <c r="D108" s="8" t="inlineStr">
        <is>
          <t>Eletrodo Revestido 2,5 mm</t>
        </is>
      </c>
      <c r="E108" s="8" t="inlineStr">
        <is>
          <t>Soldagem</t>
        </is>
      </c>
      <c r="F108" s="11" t="n">
        <v>3</v>
      </c>
      <c r="G108" s="8" t="inlineStr">
        <is>
          <t>CX</t>
        </is>
      </c>
      <c r="H108" s="9" t="n">
        <v>96</v>
      </c>
      <c r="I108" s="8" t="inlineStr">
        <is>
          <t>FABRICACAO</t>
        </is>
      </c>
      <c r="J108" s="8" t="inlineStr">
        <is>
          <t>Consumo</t>
        </is>
      </c>
      <c r="K108" s="9">
        <f>ROUND(tbConsumo[[#This Row],[Quantidade]]*tbConsumo[[#This Row],[Custo_Unitario]],2)</f>
        <v>288</v>
      </c>
      <c r="L108" s="11" t="str">
        <f>YEAR(tbConsumo[[#This Row],[Data]])&amp;"-"&amp;TEXT(MONTH(tbConsumo[[#This Row],[Data]]),"00")</f>
        <v>2026-07</v>
      </c>
    </row>
    <row r="109">
      <c r="A109" s="8" t="inlineStr">
        <is>
          <t>MOV0108</t>
        </is>
      </c>
      <c r="B109" s="13" t="n">
        <v>46220</v>
      </c>
      <c r="C109" s="8" t="inlineStr">
        <is>
          <t>MAT011</t>
        </is>
      </c>
      <c r="D109" s="8" t="inlineStr">
        <is>
          <t>Cabo Flexível 2,5 mm² Rolo</t>
        </is>
      </c>
      <c r="E109" s="8" t="inlineStr">
        <is>
          <t>Elétrica</t>
        </is>
      </c>
      <c r="F109" s="11" t="n">
        <v>1</v>
      </c>
      <c r="G109" s="8" t="inlineStr">
        <is>
          <t>UN</t>
        </is>
      </c>
      <c r="H109" s="9" t="n">
        <v>285</v>
      </c>
      <c r="I109" s="8" t="inlineStr">
        <is>
          <t>ELETRICA</t>
        </is>
      </c>
      <c r="J109" s="8" t="inlineStr">
        <is>
          <t>Consumo</t>
        </is>
      </c>
      <c r="K109" s="9">
        <f>ROUND(tbConsumo[[#This Row],[Quantidade]]*tbConsumo[[#This Row],[Custo_Unitario]],2)</f>
        <v>285</v>
      </c>
      <c r="L109" s="11" t="str">
        <f>YEAR(tbConsumo[[#This Row],[Data]])&amp;"-"&amp;TEXT(MONTH(tbConsumo[[#This Row],[Data]]),"00")</f>
        <v>2026-07</v>
      </c>
    </row>
    <row r="110">
      <c r="A110" s="8" t="inlineStr">
        <is>
          <t>MOV0109</t>
        </is>
      </c>
      <c r="B110" s="13" t="n">
        <v>46220</v>
      </c>
      <c r="C110" s="8" t="inlineStr">
        <is>
          <t>MAT013</t>
        </is>
      </c>
      <c r="D110" s="8" t="inlineStr">
        <is>
          <t>Terminal de Compressão 6 mm²</t>
        </is>
      </c>
      <c r="E110" s="8" t="inlineStr">
        <is>
          <t>Elétrica</t>
        </is>
      </c>
      <c r="F110" s="11" t="n">
        <v>2</v>
      </c>
      <c r="G110" s="8" t="inlineStr">
        <is>
          <t>PCT</t>
        </is>
      </c>
      <c r="H110" s="9" t="n">
        <v>28</v>
      </c>
      <c r="I110" s="8" t="inlineStr">
        <is>
          <t>ELETRICA</t>
        </is>
      </c>
      <c r="J110" s="8" t="inlineStr">
        <is>
          <t>Consumo</t>
        </is>
      </c>
      <c r="K110" s="9">
        <f>ROUND(tbConsumo[[#This Row],[Quantidade]]*tbConsumo[[#This Row],[Custo_Unitario]],2)</f>
        <v>56</v>
      </c>
      <c r="L110" s="11" t="str">
        <f>YEAR(tbConsumo[[#This Row],[Data]])&amp;"-"&amp;TEXT(MONTH(tbConsumo[[#This Row],[Data]]),"00")</f>
        <v>2026-07</v>
      </c>
    </row>
    <row r="111">
      <c r="A111" s="8" t="inlineStr">
        <is>
          <t>MOV0110</t>
        </is>
      </c>
      <c r="B111" s="13" t="n">
        <v>46223</v>
      </c>
      <c r="C111" s="8" t="inlineStr">
        <is>
          <t>MAT015</t>
        </is>
      </c>
      <c r="D111" s="8" t="inlineStr">
        <is>
          <t>Luva de Raspa</t>
        </is>
      </c>
      <c r="E111" s="8" t="inlineStr">
        <is>
          <t>EPI</t>
        </is>
      </c>
      <c r="F111" s="11" t="n">
        <v>10</v>
      </c>
      <c r="G111" s="8" t="inlineStr">
        <is>
          <t>PAR</t>
        </is>
      </c>
      <c r="H111" s="9" t="n">
        <v>15</v>
      </c>
      <c r="I111" s="8" t="inlineStr">
        <is>
          <t>FABRICACAO</t>
        </is>
      </c>
      <c r="J111" s="8" t="inlineStr">
        <is>
          <t>Consumo</t>
        </is>
      </c>
      <c r="K111" s="9">
        <f>ROUND(tbConsumo[[#This Row],[Quantidade]]*tbConsumo[[#This Row],[Custo_Unitario]],2)</f>
        <v>150</v>
      </c>
      <c r="L111" s="11" t="str">
        <f>YEAR(tbConsumo[[#This Row],[Data]])&amp;"-"&amp;TEXT(MONTH(tbConsumo[[#This Row],[Data]]),"00")</f>
        <v>2026-07</v>
      </c>
    </row>
    <row r="112">
      <c r="A112" s="8" t="inlineStr">
        <is>
          <t>MOV0111</t>
        </is>
      </c>
      <c r="B112" s="13" t="n">
        <v>46223</v>
      </c>
      <c r="C112" s="8" t="inlineStr">
        <is>
          <t>MAT008</t>
        </is>
      </c>
      <c r="D112" s="8" t="inlineStr">
        <is>
          <t>Disco de Corte 4,5 pol</t>
        </is>
      </c>
      <c r="E112" s="8" t="inlineStr">
        <is>
          <t>Corte</t>
        </is>
      </c>
      <c r="F112" s="11" t="n">
        <v>60</v>
      </c>
      <c r="G112" s="8" t="inlineStr">
        <is>
          <t>UN</t>
        </is>
      </c>
      <c r="H112" s="9" t="n">
        <v>5.9</v>
      </c>
      <c r="I112" s="8" t="inlineStr">
        <is>
          <t>MECANICA</t>
        </is>
      </c>
      <c r="J112" s="8" t="inlineStr">
        <is>
          <t>Consumo</t>
        </is>
      </c>
      <c r="K112" s="9">
        <f>ROUND(tbConsumo[[#This Row],[Quantidade]]*tbConsumo[[#This Row],[Custo_Unitario]],2)</f>
        <v>354</v>
      </c>
      <c r="L112" s="11" t="str">
        <f>YEAR(tbConsumo[[#This Row],[Data]])&amp;"-"&amp;TEXT(MONTH(tbConsumo[[#This Row],[Data]]),"00")</f>
        <v>2026-07</v>
      </c>
    </row>
    <row r="113">
      <c r="A113" s="8" t="inlineStr">
        <is>
          <t>MOV0112</t>
        </is>
      </c>
      <c r="B113" s="13" t="n">
        <v>46224</v>
      </c>
      <c r="C113" s="8" t="inlineStr">
        <is>
          <t>MAT017</t>
        </is>
      </c>
      <c r="D113" s="8" t="inlineStr">
        <is>
          <t>Máscara Respiratória PFF2</t>
        </is>
      </c>
      <c r="E113" s="8" t="inlineStr">
        <is>
          <t>EPI</t>
        </is>
      </c>
      <c r="F113" s="11" t="n">
        <v>2</v>
      </c>
      <c r="G113" s="8" t="inlineStr">
        <is>
          <t>CX</t>
        </is>
      </c>
      <c r="H113" s="9" t="n">
        <v>72</v>
      </c>
      <c r="I113" s="8" t="inlineStr">
        <is>
          <t>MANUTENCAO</t>
        </is>
      </c>
      <c r="J113" s="8" t="inlineStr">
        <is>
          <t>Consumo</t>
        </is>
      </c>
      <c r="K113" s="9">
        <f>ROUND(tbConsumo[[#This Row],[Quantidade]]*tbConsumo[[#This Row],[Custo_Unitario]],2)</f>
        <v>144</v>
      </c>
      <c r="L113" s="11" t="str">
        <f>YEAR(tbConsumo[[#This Row],[Data]])&amp;"-"&amp;TEXT(MONTH(tbConsumo[[#This Row],[Data]]),"00")</f>
        <v>2026-07</v>
      </c>
    </row>
    <row r="114">
      <c r="A114" s="8" t="inlineStr">
        <is>
          <t>MOV0113</t>
        </is>
      </c>
      <c r="B114" s="13" t="n">
        <v>46224</v>
      </c>
      <c r="C114" s="8" t="inlineStr">
        <is>
          <t>MAT014</t>
        </is>
      </c>
      <c r="D114" s="8" t="inlineStr">
        <is>
          <t>Disjuntor Tripolar 32 A</t>
        </is>
      </c>
      <c r="E114" s="8" t="inlineStr">
        <is>
          <t>Elétrica</t>
        </is>
      </c>
      <c r="F114" s="11" t="n">
        <v>2</v>
      </c>
      <c r="G114" s="8" t="inlineStr">
        <is>
          <t>UN</t>
        </is>
      </c>
      <c r="H114" s="9" t="n">
        <v>118</v>
      </c>
      <c r="I114" s="8" t="inlineStr">
        <is>
          <t>MANUTENCAO</t>
        </is>
      </c>
      <c r="J114" s="8" t="inlineStr">
        <is>
          <t>Consumo</t>
        </is>
      </c>
      <c r="K114" s="9">
        <f>ROUND(tbConsumo[[#This Row],[Quantidade]]*tbConsumo[[#This Row],[Custo_Unitario]],2)</f>
        <v>236</v>
      </c>
      <c r="L114" s="11" t="str">
        <f>YEAR(tbConsumo[[#This Row],[Data]])&amp;"-"&amp;TEXT(MONTH(tbConsumo[[#This Row],[Data]]),"00")</f>
        <v>2026-07</v>
      </c>
    </row>
    <row r="115">
      <c r="A115" s="8" t="inlineStr">
        <is>
          <t>MOV0114</t>
        </is>
      </c>
      <c r="B115" s="13" t="n">
        <v>46224</v>
      </c>
      <c r="C115" s="8" t="inlineStr">
        <is>
          <t>MAT004</t>
        </is>
      </c>
      <c r="D115" s="8" t="inlineStr">
        <is>
          <t>Bico de Contato MIG 1,0 mm</t>
        </is>
      </c>
      <c r="E115" s="8" t="inlineStr">
        <is>
          <t>Soldagem</t>
        </is>
      </c>
      <c r="F115" s="11" t="n">
        <v>1</v>
      </c>
      <c r="G115" s="8" t="inlineStr">
        <is>
          <t>PCT</t>
        </is>
      </c>
      <c r="H115" s="9" t="n">
        <v>45</v>
      </c>
      <c r="I115" s="8" t="inlineStr">
        <is>
          <t>SOLDAGEM</t>
        </is>
      </c>
      <c r="J115" s="8" t="inlineStr">
        <is>
          <t>Consumo</t>
        </is>
      </c>
      <c r="K115" s="9">
        <f>ROUND(tbConsumo[[#This Row],[Quantidade]]*tbConsumo[[#This Row],[Custo_Unitario]],2)</f>
        <v>45</v>
      </c>
      <c r="L115" s="11" t="str">
        <f>YEAR(tbConsumo[[#This Row],[Data]])&amp;"-"&amp;TEXT(MONTH(tbConsumo[[#This Row],[Data]]),"00")</f>
        <v>2026-07</v>
      </c>
    </row>
    <row r="116">
      <c r="A116" s="8" t="inlineStr">
        <is>
          <t>MOV0115</t>
        </is>
      </c>
      <c r="B116" s="13" t="n">
        <v>46224</v>
      </c>
      <c r="C116" s="8" t="inlineStr">
        <is>
          <t>MAT008</t>
        </is>
      </c>
      <c r="D116" s="8" t="inlineStr">
        <is>
          <t>Disco de Corte 4,5 pol</t>
        </is>
      </c>
      <c r="E116" s="8" t="inlineStr">
        <is>
          <t>Corte</t>
        </is>
      </c>
      <c r="F116" s="11" t="n">
        <v>22</v>
      </c>
      <c r="G116" s="8" t="inlineStr">
        <is>
          <t>UN</t>
        </is>
      </c>
      <c r="H116" s="9" t="n">
        <v>5.9</v>
      </c>
      <c r="I116" s="8" t="inlineStr">
        <is>
          <t>FABRICACAO</t>
        </is>
      </c>
      <c r="J116" s="8" t="inlineStr">
        <is>
          <t>Consumo</t>
        </is>
      </c>
      <c r="K116" s="9">
        <f>ROUND(tbConsumo[[#This Row],[Quantidade]]*tbConsumo[[#This Row],[Custo_Unitario]],2)</f>
        <v>129.8</v>
      </c>
      <c r="L116" s="11" t="str">
        <f>YEAR(tbConsumo[[#This Row],[Data]])&amp;"-"&amp;TEXT(MONTH(tbConsumo[[#This Row],[Data]]),"00")</f>
        <v>2026-07</v>
      </c>
    </row>
    <row r="117">
      <c r="A117" s="8" t="inlineStr">
        <is>
          <t>MOV0116</t>
        </is>
      </c>
      <c r="B117" s="13" t="n">
        <v>46225</v>
      </c>
      <c r="C117" s="8" t="inlineStr">
        <is>
          <t>MAT002</t>
        </is>
      </c>
      <c r="D117" s="8" t="inlineStr">
        <is>
          <t>Disco Flap 4,5 pol Grão 60</t>
        </is>
      </c>
      <c r="E117" s="8" t="inlineStr">
        <is>
          <t>Abrasivos</t>
        </is>
      </c>
      <c r="F117" s="11" t="n">
        <v>12</v>
      </c>
      <c r="G117" s="8" t="inlineStr">
        <is>
          <t>UN</t>
        </is>
      </c>
      <c r="H117" s="9" t="n">
        <v>7.4</v>
      </c>
      <c r="I117" s="8" t="inlineStr">
        <is>
          <t>MECANICA</t>
        </is>
      </c>
      <c r="J117" s="8" t="inlineStr">
        <is>
          <t>Consumo</t>
        </is>
      </c>
      <c r="K117" s="9">
        <f>ROUND(tbConsumo[[#This Row],[Quantidade]]*tbConsumo[[#This Row],[Custo_Unitario]],2)</f>
        <v>88.8</v>
      </c>
      <c r="L117" s="11" t="str">
        <f>YEAR(tbConsumo[[#This Row],[Data]])&amp;"-"&amp;TEXT(MONTH(tbConsumo[[#This Row],[Data]]),"00")</f>
        <v>2026-07</v>
      </c>
    </row>
    <row r="118">
      <c r="A118" s="8" t="inlineStr">
        <is>
          <t>MOV0117</t>
        </is>
      </c>
      <c r="B118" s="13" t="n">
        <v>46225</v>
      </c>
      <c r="C118" s="8" t="inlineStr">
        <is>
          <t>MAT009</t>
        </is>
      </c>
      <c r="D118" s="8" t="inlineStr">
        <is>
          <t>Serra Copo 51 mm</t>
        </is>
      </c>
      <c r="E118" s="8" t="inlineStr">
        <is>
          <t>Corte</t>
        </is>
      </c>
      <c r="F118" s="11" t="n">
        <v>1</v>
      </c>
      <c r="G118" s="8" t="inlineStr">
        <is>
          <t>UN</t>
        </is>
      </c>
      <c r="H118" s="9" t="n">
        <v>46</v>
      </c>
      <c r="I118" s="8" t="inlineStr">
        <is>
          <t>FABRICACAO</t>
        </is>
      </c>
      <c r="J118" s="8" t="inlineStr">
        <is>
          <t>Consumo</t>
        </is>
      </c>
      <c r="K118" s="9">
        <f>ROUND(tbConsumo[[#This Row],[Quantidade]]*tbConsumo[[#This Row],[Custo_Unitario]],2)</f>
        <v>46</v>
      </c>
      <c r="L118" s="11" t="str">
        <f>YEAR(tbConsumo[[#This Row],[Data]])&amp;"-"&amp;TEXT(MONTH(tbConsumo[[#This Row],[Data]]),"00")</f>
        <v>2026-07</v>
      </c>
    </row>
    <row r="119">
      <c r="A119" s="8" t="inlineStr">
        <is>
          <t>MOV0118</t>
        </is>
      </c>
      <c r="B119" s="13" t="n">
        <v>46225</v>
      </c>
      <c r="C119" s="8" t="inlineStr">
        <is>
          <t>MAT001</t>
        </is>
      </c>
      <c r="D119" s="8" t="inlineStr">
        <is>
          <t>Disco de Desbaste 7 pol</t>
        </is>
      </c>
      <c r="E119" s="8" t="inlineStr">
        <is>
          <t>Abrasivos</t>
        </is>
      </c>
      <c r="F119" s="11" t="n">
        <v>24</v>
      </c>
      <c r="G119" s="8" t="inlineStr">
        <is>
          <t>UN</t>
        </is>
      </c>
      <c r="H119" s="9" t="n">
        <v>9.800000000000001</v>
      </c>
      <c r="I119" s="8" t="inlineStr">
        <is>
          <t>MECANICA</t>
        </is>
      </c>
      <c r="J119" s="8" t="inlineStr">
        <is>
          <t>Consumo</t>
        </is>
      </c>
      <c r="K119" s="9">
        <f>ROUND(tbConsumo[[#This Row],[Quantidade]]*tbConsumo[[#This Row],[Custo_Unitario]],2)</f>
        <v>235.2</v>
      </c>
      <c r="L119" s="11" t="str">
        <f>YEAR(tbConsumo[[#This Row],[Data]])&amp;"-"&amp;TEXT(MONTH(tbConsumo[[#This Row],[Data]]),"00")</f>
        <v>2026-07</v>
      </c>
    </row>
    <row r="120">
      <c r="A120" s="8" t="inlineStr">
        <is>
          <t>MOV0119</t>
        </is>
      </c>
      <c r="B120" s="13" t="n">
        <v>46225</v>
      </c>
      <c r="C120" s="8" t="inlineStr">
        <is>
          <t>MAT003</t>
        </is>
      </c>
      <c r="D120" s="8" t="inlineStr">
        <is>
          <t>Lixa de Ferro Grão 80</t>
        </is>
      </c>
      <c r="E120" s="8" t="inlineStr">
        <is>
          <t>Abrasivos</t>
        </is>
      </c>
      <c r="F120" s="11" t="n">
        <v>1</v>
      </c>
      <c r="G120" s="8" t="inlineStr">
        <is>
          <t>PCT</t>
        </is>
      </c>
      <c r="H120" s="9" t="n">
        <v>38</v>
      </c>
      <c r="I120" s="8" t="inlineStr">
        <is>
          <t>SOLDAGEM</t>
        </is>
      </c>
      <c r="J120" s="8" t="inlineStr">
        <is>
          <t>Consumo</t>
        </is>
      </c>
      <c r="K120" s="9">
        <f>ROUND(tbConsumo[[#This Row],[Quantidade]]*tbConsumo[[#This Row],[Custo_Unitario]],2)</f>
        <v>38</v>
      </c>
      <c r="L120" s="11" t="str">
        <f>YEAR(tbConsumo[[#This Row],[Data]])&amp;"-"&amp;TEXT(MONTH(tbConsumo[[#This Row],[Data]]),"00")</f>
        <v>2026-07</v>
      </c>
    </row>
    <row r="121">
      <c r="A121" s="8" t="inlineStr">
        <is>
          <t>MOV0120</t>
        </is>
      </c>
      <c r="B121" s="13" t="n">
        <v>46226</v>
      </c>
      <c r="C121" s="8" t="inlineStr">
        <is>
          <t>MAT002</t>
        </is>
      </c>
      <c r="D121" s="8" t="inlineStr">
        <is>
          <t>Disco Flap 4,5 pol Grão 60</t>
        </is>
      </c>
      <c r="E121" s="8" t="inlineStr">
        <is>
          <t>Abrasivos</t>
        </is>
      </c>
      <c r="F121" s="11" t="n">
        <v>13</v>
      </c>
      <c r="G121" s="8" t="inlineStr">
        <is>
          <t>UN</t>
        </is>
      </c>
      <c r="H121" s="9" t="n">
        <v>7.4</v>
      </c>
      <c r="I121" s="8" t="inlineStr">
        <is>
          <t>MECANICA</t>
        </is>
      </c>
      <c r="J121" s="8" t="inlineStr">
        <is>
          <t>Consumo</t>
        </is>
      </c>
      <c r="K121" s="9">
        <f>ROUND(tbConsumo[[#This Row],[Quantidade]]*tbConsumo[[#This Row],[Custo_Unitario]],2)</f>
        <v>96.2</v>
      </c>
      <c r="L121" s="11" t="str">
        <f>YEAR(tbConsumo[[#This Row],[Data]])&amp;"-"&amp;TEXT(MONTH(tbConsumo[[#This Row],[Data]]),"00")</f>
        <v>2026-07</v>
      </c>
    </row>
    <row r="122">
      <c r="A122" s="8" t="inlineStr">
        <is>
          <t>MOV0121</t>
        </is>
      </c>
      <c r="B122" s="13" t="n">
        <v>46226</v>
      </c>
      <c r="C122" s="8" t="inlineStr">
        <is>
          <t>MAT005</t>
        </is>
      </c>
      <c r="D122" s="8" t="inlineStr">
        <is>
          <t>Eletrodo Revestido 2,5 mm</t>
        </is>
      </c>
      <c r="E122" s="8" t="inlineStr">
        <is>
          <t>Soldagem</t>
        </is>
      </c>
      <c r="F122" s="11" t="n">
        <v>1</v>
      </c>
      <c r="G122" s="8" t="inlineStr">
        <is>
          <t>CX</t>
        </is>
      </c>
      <c r="H122" s="9" t="n">
        <v>96</v>
      </c>
      <c r="I122" s="8" t="inlineStr">
        <is>
          <t>SOLDAGEM</t>
        </is>
      </c>
      <c r="J122" s="8" t="inlineStr">
        <is>
          <t>Consumo</t>
        </is>
      </c>
      <c r="K122" s="9">
        <f>ROUND(tbConsumo[[#This Row],[Quantidade]]*tbConsumo[[#This Row],[Custo_Unitario]],2)</f>
        <v>96</v>
      </c>
      <c r="L122" s="11" t="str">
        <f>YEAR(tbConsumo[[#This Row],[Data]])&amp;"-"&amp;TEXT(MONTH(tbConsumo[[#This Row],[Data]]),"00")</f>
        <v>2026-07</v>
      </c>
    </row>
    <row r="123">
      <c r="A123" s="8" t="inlineStr">
        <is>
          <t>MOV0122</t>
        </is>
      </c>
      <c r="B123" s="13" t="n">
        <v>46226</v>
      </c>
      <c r="C123" s="8" t="inlineStr">
        <is>
          <t>MAT004</t>
        </is>
      </c>
      <c r="D123" s="8" t="inlineStr">
        <is>
          <t>Bico de Contato MIG 1,0 mm</t>
        </is>
      </c>
      <c r="E123" s="8" t="inlineStr">
        <is>
          <t>Soldagem</t>
        </is>
      </c>
      <c r="F123" s="11" t="n">
        <v>3</v>
      </c>
      <c r="G123" s="8" t="inlineStr">
        <is>
          <t>PCT</t>
        </is>
      </c>
      <c r="H123" s="9" t="n">
        <v>45</v>
      </c>
      <c r="I123" s="8" t="inlineStr">
        <is>
          <t>SOLDAGEM</t>
        </is>
      </c>
      <c r="J123" s="8" t="inlineStr">
        <is>
          <t>Consumo</t>
        </is>
      </c>
      <c r="K123" s="9">
        <f>ROUND(tbConsumo[[#This Row],[Quantidade]]*tbConsumo[[#This Row],[Custo_Unitario]],2)</f>
        <v>135</v>
      </c>
      <c r="L123" s="11" t="str">
        <f>YEAR(tbConsumo[[#This Row],[Data]])&amp;"-"&amp;TEXT(MONTH(tbConsumo[[#This Row],[Data]]),"00")</f>
        <v>2026-07</v>
      </c>
    </row>
    <row r="124">
      <c r="A124" s="8" t="inlineStr">
        <is>
          <t>MOV0123</t>
        </is>
      </c>
      <c r="B124" s="13" t="n">
        <v>46226</v>
      </c>
      <c r="C124" s="8" t="inlineStr">
        <is>
          <t>MAT008</t>
        </is>
      </c>
      <c r="D124" s="8" t="inlineStr">
        <is>
          <t>Disco de Corte 4,5 pol</t>
        </is>
      </c>
      <c r="E124" s="8" t="inlineStr">
        <is>
          <t>Corte</t>
        </is>
      </c>
      <c r="F124" s="11" t="n">
        <v>12</v>
      </c>
      <c r="G124" s="8" t="inlineStr">
        <is>
          <t>UN</t>
        </is>
      </c>
      <c r="H124" s="9" t="n">
        <v>5.9</v>
      </c>
      <c r="I124" s="8" t="inlineStr">
        <is>
          <t>SOLDAGEM</t>
        </is>
      </c>
      <c r="J124" s="8" t="inlineStr">
        <is>
          <t>Consumo</t>
        </is>
      </c>
      <c r="K124" s="9">
        <f>ROUND(tbConsumo[[#This Row],[Quantidade]]*tbConsumo[[#This Row],[Custo_Unitario]],2)</f>
        <v>70.8</v>
      </c>
      <c r="L124" s="11" t="str">
        <f>YEAR(tbConsumo[[#This Row],[Data]])&amp;"-"&amp;TEXT(MONTH(tbConsumo[[#This Row],[Data]]),"00")</f>
        <v>2026-07</v>
      </c>
    </row>
    <row r="125">
      <c r="A125" s="8" t="inlineStr">
        <is>
          <t>MOV0124</t>
        </is>
      </c>
      <c r="B125" s="13" t="n">
        <v>46227</v>
      </c>
      <c r="C125" s="8" t="inlineStr">
        <is>
          <t>MAT005</t>
        </is>
      </c>
      <c r="D125" s="8" t="inlineStr">
        <is>
          <t>Eletrodo Revestido 2,5 mm</t>
        </is>
      </c>
      <c r="E125" s="8" t="inlineStr">
        <is>
          <t>Soldagem</t>
        </is>
      </c>
      <c r="F125" s="11" t="n">
        <v>3</v>
      </c>
      <c r="G125" s="8" t="inlineStr">
        <is>
          <t>CX</t>
        </is>
      </c>
      <c r="H125" s="9" t="n">
        <v>96</v>
      </c>
      <c r="I125" s="8" t="inlineStr">
        <is>
          <t>SOLDAGEM</t>
        </is>
      </c>
      <c r="J125" s="8" t="inlineStr">
        <is>
          <t>Consumo</t>
        </is>
      </c>
      <c r="K125" s="9">
        <f>ROUND(tbConsumo[[#This Row],[Quantidade]]*tbConsumo[[#This Row],[Custo_Unitario]],2)</f>
        <v>288</v>
      </c>
      <c r="L125" s="11" t="str">
        <f>YEAR(tbConsumo[[#This Row],[Data]])&amp;"-"&amp;TEXT(MONTH(tbConsumo[[#This Row],[Data]]),"00")</f>
        <v>2026-07</v>
      </c>
    </row>
    <row r="126">
      <c r="A126" s="8" t="inlineStr">
        <is>
          <t>MOV0125</t>
        </is>
      </c>
      <c r="B126" s="13" t="n">
        <v>46227</v>
      </c>
      <c r="C126" s="8" t="inlineStr">
        <is>
          <t>MAT013</t>
        </is>
      </c>
      <c r="D126" s="8" t="inlineStr">
        <is>
          <t>Terminal de Compressão 6 mm²</t>
        </is>
      </c>
      <c r="E126" s="8" t="inlineStr">
        <is>
          <t>Elétrica</t>
        </is>
      </c>
      <c r="F126" s="11" t="n">
        <v>1</v>
      </c>
      <c r="G126" s="8" t="inlineStr">
        <is>
          <t>PCT</t>
        </is>
      </c>
      <c r="H126" s="9" t="n">
        <v>28</v>
      </c>
      <c r="I126" s="8" t="inlineStr">
        <is>
          <t>ELETRICA</t>
        </is>
      </c>
      <c r="J126" s="8" t="inlineStr">
        <is>
          <t>Consumo</t>
        </is>
      </c>
      <c r="K126" s="9">
        <f>ROUND(tbConsumo[[#This Row],[Quantidade]]*tbConsumo[[#This Row],[Custo_Unitario]],2)</f>
        <v>28</v>
      </c>
      <c r="L126" s="11" t="str">
        <f>YEAR(tbConsumo[[#This Row],[Data]])&amp;"-"&amp;TEXT(MONTH(tbConsumo[[#This Row],[Data]]),"00")</f>
        <v>2026-07</v>
      </c>
    </row>
    <row r="127">
      <c r="A127" s="8" t="inlineStr">
        <is>
          <t>MOV0126</t>
        </is>
      </c>
      <c r="B127" s="13" t="n">
        <v>46227</v>
      </c>
      <c r="C127" s="8" t="inlineStr">
        <is>
          <t>MAT007</t>
        </is>
      </c>
      <c r="D127" s="8" t="inlineStr">
        <is>
          <t>Disco de Corte 7 pol</t>
        </is>
      </c>
      <c r="E127" s="8" t="inlineStr">
        <is>
          <t>Corte</t>
        </is>
      </c>
      <c r="F127" s="11" t="n">
        <v>34</v>
      </c>
      <c r="G127" s="8" t="inlineStr">
        <is>
          <t>UN</t>
        </is>
      </c>
      <c r="H127" s="9" t="n">
        <v>12.5</v>
      </c>
      <c r="I127" s="8" t="inlineStr">
        <is>
          <t>MANUTENCAO</t>
        </is>
      </c>
      <c r="J127" s="8" t="inlineStr">
        <is>
          <t>Consumo</t>
        </is>
      </c>
      <c r="K127" s="9">
        <f>ROUND(tbConsumo[[#This Row],[Quantidade]]*tbConsumo[[#This Row],[Custo_Unitario]],2)</f>
        <v>425</v>
      </c>
      <c r="L127" s="11" t="str">
        <f>YEAR(tbConsumo[[#This Row],[Data]])&amp;"-"&amp;TEXT(MONTH(tbConsumo[[#This Row],[Data]]),"00")</f>
        <v>2026-07</v>
      </c>
    </row>
    <row r="128">
      <c r="A128" s="8" t="inlineStr">
        <is>
          <t>MOV0127</t>
        </is>
      </c>
      <c r="B128" s="13" t="n">
        <v>46227</v>
      </c>
      <c r="C128" s="8" t="inlineStr">
        <is>
          <t>MAT004</t>
        </is>
      </c>
      <c r="D128" s="8" t="inlineStr">
        <is>
          <t>Bico de Contato MIG 1,0 mm</t>
        </is>
      </c>
      <c r="E128" s="8" t="inlineStr">
        <is>
          <t>Soldagem</t>
        </is>
      </c>
      <c r="F128" s="11" t="n">
        <v>3</v>
      </c>
      <c r="G128" s="8" t="inlineStr">
        <is>
          <t>PCT</t>
        </is>
      </c>
      <c r="H128" s="9" t="n">
        <v>45</v>
      </c>
      <c r="I128" s="8" t="inlineStr">
        <is>
          <t>MECANICA</t>
        </is>
      </c>
      <c r="J128" s="8" t="inlineStr">
        <is>
          <t>Consumo</t>
        </is>
      </c>
      <c r="K128" s="9">
        <f>ROUND(tbConsumo[[#This Row],[Quantidade]]*tbConsumo[[#This Row],[Custo_Unitario]],2)</f>
        <v>135</v>
      </c>
      <c r="L128" s="11" t="str">
        <f>YEAR(tbConsumo[[#This Row],[Data]])&amp;"-"&amp;TEXT(MONTH(tbConsumo[[#This Row],[Data]]),"00")</f>
        <v>2026-07</v>
      </c>
    </row>
    <row r="129">
      <c r="A129" s="8" t="inlineStr">
        <is>
          <t>MOV0128</t>
        </is>
      </c>
      <c r="B129" s="13" t="n">
        <v>46228</v>
      </c>
      <c r="C129" s="8" t="inlineStr">
        <is>
          <t>MAT005</t>
        </is>
      </c>
      <c r="D129" s="8" t="inlineStr">
        <is>
          <t>Eletrodo Revestido 2,5 mm</t>
        </is>
      </c>
      <c r="E129" s="8" t="inlineStr">
        <is>
          <t>Soldagem</t>
        </is>
      </c>
      <c r="F129" s="11" t="n">
        <v>2</v>
      </c>
      <c r="G129" s="8" t="inlineStr">
        <is>
          <t>CX</t>
        </is>
      </c>
      <c r="H129" s="9" t="n">
        <v>96</v>
      </c>
      <c r="I129" s="8" t="inlineStr">
        <is>
          <t>MANUTENCAO</t>
        </is>
      </c>
      <c r="J129" s="8" t="inlineStr">
        <is>
          <t>Consumo</t>
        </is>
      </c>
      <c r="K129" s="9">
        <f>ROUND(tbConsumo[[#This Row],[Quantidade]]*tbConsumo[[#This Row],[Custo_Unitario]],2)</f>
        <v>192</v>
      </c>
      <c r="L129" s="11" t="str">
        <f>YEAR(tbConsumo[[#This Row],[Data]])&amp;"-"&amp;TEXT(MONTH(tbConsumo[[#This Row],[Data]]),"00")</f>
        <v>2026-07</v>
      </c>
    </row>
    <row r="130">
      <c r="A130" s="8" t="inlineStr">
        <is>
          <t>MOV0129</t>
        </is>
      </c>
      <c r="B130" s="13" t="n">
        <v>46230</v>
      </c>
      <c r="C130" s="8" t="inlineStr">
        <is>
          <t>MAT008</t>
        </is>
      </c>
      <c r="D130" s="8" t="inlineStr">
        <is>
          <t>Disco de Corte 4,5 pol</t>
        </is>
      </c>
      <c r="E130" s="8" t="inlineStr">
        <is>
          <t>Corte</t>
        </is>
      </c>
      <c r="F130" s="11" t="n">
        <v>17</v>
      </c>
      <c r="G130" s="8" t="inlineStr">
        <is>
          <t>UN</t>
        </is>
      </c>
      <c r="H130" s="9" t="n">
        <v>5.9</v>
      </c>
      <c r="I130" s="8" t="inlineStr">
        <is>
          <t>SOLDAGEM</t>
        </is>
      </c>
      <c r="J130" s="8" t="inlineStr">
        <is>
          <t>Consumo</t>
        </is>
      </c>
      <c r="K130" s="9">
        <f>ROUND(tbConsumo[[#This Row],[Quantidade]]*tbConsumo[[#This Row],[Custo_Unitario]],2)</f>
        <v>100.3</v>
      </c>
      <c r="L130" s="11" t="str">
        <f>YEAR(tbConsumo[[#This Row],[Data]])&amp;"-"&amp;TEXT(MONTH(tbConsumo[[#This Row],[Data]]),"00")</f>
        <v>2026-07</v>
      </c>
    </row>
    <row r="131">
      <c r="A131" s="8" t="inlineStr">
        <is>
          <t>MOV0130</t>
        </is>
      </c>
      <c r="B131" s="13" t="n">
        <v>46231</v>
      </c>
      <c r="C131" s="8" t="inlineStr">
        <is>
          <t>MAT010</t>
        </is>
      </c>
      <c r="D131" s="8" t="inlineStr">
        <is>
          <t>Lâmina de Serra Sabre</t>
        </is>
      </c>
      <c r="E131" s="8" t="inlineStr">
        <is>
          <t>Corte</t>
        </is>
      </c>
      <c r="F131" s="11" t="n">
        <v>2</v>
      </c>
      <c r="G131" s="8" t="inlineStr">
        <is>
          <t>PCT</t>
        </is>
      </c>
      <c r="H131" s="9" t="n">
        <v>62</v>
      </c>
      <c r="I131" s="8" t="inlineStr">
        <is>
          <t>FABRICACAO</t>
        </is>
      </c>
      <c r="J131" s="8" t="inlineStr">
        <is>
          <t>Consumo</t>
        </is>
      </c>
      <c r="K131" s="9">
        <f>ROUND(tbConsumo[[#This Row],[Quantidade]]*tbConsumo[[#This Row],[Custo_Unitario]],2)</f>
        <v>124</v>
      </c>
      <c r="L131" s="11" t="str">
        <f>YEAR(tbConsumo[[#This Row],[Data]])&amp;"-"&amp;TEXT(MONTH(tbConsumo[[#This Row],[Data]]),"00")</f>
        <v>2026-07</v>
      </c>
    </row>
    <row r="132">
      <c r="A132" s="8" t="inlineStr">
        <is>
          <t>MOV0131</t>
        </is>
      </c>
      <c r="B132" s="13" t="n">
        <v>46232</v>
      </c>
      <c r="C132" s="8" t="inlineStr">
        <is>
          <t>MAT007</t>
        </is>
      </c>
      <c r="D132" s="8" t="inlineStr">
        <is>
          <t>Disco de Corte 7 pol</t>
        </is>
      </c>
      <c r="E132" s="8" t="inlineStr">
        <is>
          <t>Corte</t>
        </is>
      </c>
      <c r="F132" s="11" t="n">
        <v>7</v>
      </c>
      <c r="G132" s="8" t="inlineStr">
        <is>
          <t>UN</t>
        </is>
      </c>
      <c r="H132" s="9" t="n">
        <v>12.5</v>
      </c>
      <c r="I132" s="8" t="inlineStr">
        <is>
          <t>MANUTENCAO</t>
        </is>
      </c>
      <c r="J132" s="8" t="inlineStr">
        <is>
          <t>Consumo</t>
        </is>
      </c>
      <c r="K132" s="9">
        <f>ROUND(tbConsumo[[#This Row],[Quantidade]]*tbConsumo[[#This Row],[Custo_Unitario]],2)</f>
        <v>87.5</v>
      </c>
      <c r="L132" s="11" t="str">
        <f>YEAR(tbConsumo[[#This Row],[Data]])&amp;"-"&amp;TEXT(MONTH(tbConsumo[[#This Row],[Data]]),"00")</f>
        <v>2026-07</v>
      </c>
    </row>
    <row r="133">
      <c r="A133" s="8" t="inlineStr">
        <is>
          <t>MOV0132</t>
        </is>
      </c>
      <c r="B133" s="13" t="n">
        <v>46232</v>
      </c>
      <c r="C133" s="8" t="inlineStr">
        <is>
          <t>MAT013</t>
        </is>
      </c>
      <c r="D133" s="8" t="inlineStr">
        <is>
          <t>Terminal de Compressão 6 mm²</t>
        </is>
      </c>
      <c r="E133" s="8" t="inlineStr">
        <is>
          <t>Elétrica</t>
        </is>
      </c>
      <c r="F133" s="11" t="n">
        <v>1</v>
      </c>
      <c r="G133" s="8" t="inlineStr">
        <is>
          <t>PCT</t>
        </is>
      </c>
      <c r="H133" s="9" t="n">
        <v>28</v>
      </c>
      <c r="I133" s="8" t="inlineStr">
        <is>
          <t>ELETRICA</t>
        </is>
      </c>
      <c r="J133" s="8" t="inlineStr">
        <is>
          <t>Consumo</t>
        </is>
      </c>
      <c r="K133" s="9">
        <f>ROUND(tbConsumo[[#This Row],[Quantidade]]*tbConsumo[[#This Row],[Custo_Unitario]],2)</f>
        <v>28</v>
      </c>
      <c r="L133" s="11" t="str">
        <f>YEAR(tbConsumo[[#This Row],[Data]])&amp;"-"&amp;TEXT(MONTH(tbConsumo[[#This Row],[Data]]),"00")</f>
        <v>2026-07</v>
      </c>
    </row>
    <row r="134">
      <c r="A134" s="8" t="inlineStr">
        <is>
          <t>MOV0133</t>
        </is>
      </c>
      <c r="B134" s="13" t="n">
        <v>46232</v>
      </c>
      <c r="C134" s="8" t="inlineStr">
        <is>
          <t>MAT015</t>
        </is>
      </c>
      <c r="D134" s="8" t="inlineStr">
        <is>
          <t>Luva de Raspa</t>
        </is>
      </c>
      <c r="E134" s="8" t="inlineStr">
        <is>
          <t>EPI</t>
        </is>
      </c>
      <c r="F134" s="11" t="n">
        <v>11</v>
      </c>
      <c r="G134" s="8" t="inlineStr">
        <is>
          <t>PAR</t>
        </is>
      </c>
      <c r="H134" s="9" t="n">
        <v>15</v>
      </c>
      <c r="I134" s="8" t="inlineStr">
        <is>
          <t>MANUTENCAO</t>
        </is>
      </c>
      <c r="J134" s="8" t="inlineStr">
        <is>
          <t>Consumo</t>
        </is>
      </c>
      <c r="K134" s="9">
        <f>ROUND(tbConsumo[[#This Row],[Quantidade]]*tbConsumo[[#This Row],[Custo_Unitario]],2)</f>
        <v>165</v>
      </c>
      <c r="L134" s="11" t="str">
        <f>YEAR(tbConsumo[[#This Row],[Data]])&amp;"-"&amp;TEXT(MONTH(tbConsumo[[#This Row],[Data]]),"00")</f>
        <v>2026-07</v>
      </c>
    </row>
    <row r="135">
      <c r="A135" s="8" t="inlineStr">
        <is>
          <t>MOV0134</t>
        </is>
      </c>
      <c r="B135" s="13" t="n">
        <v>46233</v>
      </c>
      <c r="C135" s="8" t="inlineStr">
        <is>
          <t>MAT006</t>
        </is>
      </c>
      <c r="D135" s="8" t="inlineStr">
        <is>
          <t>Arame MIG 1,0 mm Bobina</t>
        </is>
      </c>
      <c r="E135" s="8" t="inlineStr">
        <is>
          <t>Soldagem</t>
        </is>
      </c>
      <c r="F135" s="11" t="n">
        <v>2</v>
      </c>
      <c r="G135" s="8" t="inlineStr">
        <is>
          <t>UN</t>
        </is>
      </c>
      <c r="H135" s="9" t="n">
        <v>210</v>
      </c>
      <c r="I135" s="8" t="inlineStr">
        <is>
          <t>FABRICACAO</t>
        </is>
      </c>
      <c r="J135" s="8" t="inlineStr">
        <is>
          <t>Consumo</t>
        </is>
      </c>
      <c r="K135" s="9">
        <f>ROUND(tbConsumo[[#This Row],[Quantidade]]*tbConsumo[[#This Row],[Custo_Unitario]],2)</f>
        <v>420</v>
      </c>
      <c r="L135" s="11" t="str">
        <f>YEAR(tbConsumo[[#This Row],[Data]])&amp;"-"&amp;TEXT(MONTH(tbConsumo[[#This Row],[Data]]),"00")</f>
        <v>2026-07</v>
      </c>
    </row>
    <row r="136">
      <c r="A136" s="8" t="inlineStr">
        <is>
          <t>MOV0135</t>
        </is>
      </c>
      <c r="B136" s="13" t="n">
        <v>46233</v>
      </c>
      <c r="C136" s="8" t="inlineStr">
        <is>
          <t>MAT013</t>
        </is>
      </c>
      <c r="D136" s="8" t="inlineStr">
        <is>
          <t>Terminal de Compressão 6 mm²</t>
        </is>
      </c>
      <c r="E136" s="8" t="inlineStr">
        <is>
          <t>Elétrica</t>
        </is>
      </c>
      <c r="F136" s="11" t="n">
        <v>1</v>
      </c>
      <c r="G136" s="8" t="inlineStr">
        <is>
          <t>PCT</t>
        </is>
      </c>
      <c r="H136" s="9" t="n">
        <v>28</v>
      </c>
      <c r="I136" s="8" t="inlineStr">
        <is>
          <t>MANUTENCAO</t>
        </is>
      </c>
      <c r="J136" s="8" t="inlineStr">
        <is>
          <t>Consumo</t>
        </is>
      </c>
      <c r="K136" s="9">
        <f>ROUND(tbConsumo[[#This Row],[Quantidade]]*tbConsumo[[#This Row],[Custo_Unitario]],2)</f>
        <v>28</v>
      </c>
      <c r="L136" s="11" t="str">
        <f>YEAR(tbConsumo[[#This Row],[Data]])&amp;"-"&amp;TEXT(MONTH(tbConsumo[[#This Row],[Data]]),"00")</f>
        <v>2026-07</v>
      </c>
    </row>
    <row r="137">
      <c r="A137" s="8" t="inlineStr">
        <is>
          <t>MOV0136</t>
        </is>
      </c>
      <c r="B137" s="13" t="n">
        <v>46234</v>
      </c>
      <c r="C137" s="8" t="inlineStr">
        <is>
          <t>MAT003</t>
        </is>
      </c>
      <c r="D137" s="8" t="inlineStr">
        <is>
          <t>Lixa de Ferro Grão 80</t>
        </is>
      </c>
      <c r="E137" s="8" t="inlineStr">
        <is>
          <t>Abrasivos</t>
        </is>
      </c>
      <c r="F137" s="11" t="n">
        <v>3</v>
      </c>
      <c r="G137" s="8" t="inlineStr">
        <is>
          <t>PCT</t>
        </is>
      </c>
      <c r="H137" s="9" t="n">
        <v>38</v>
      </c>
      <c r="I137" s="8" t="inlineStr">
        <is>
          <t>MANUTENCAO</t>
        </is>
      </c>
      <c r="J137" s="8" t="inlineStr">
        <is>
          <t>Consumo</t>
        </is>
      </c>
      <c r="K137" s="9">
        <f>ROUND(tbConsumo[[#This Row],[Quantidade]]*tbConsumo[[#This Row],[Custo_Unitario]],2)</f>
        <v>114</v>
      </c>
      <c r="L137" s="11" t="str">
        <f>YEAR(tbConsumo[[#This Row],[Data]])&amp;"-"&amp;TEXT(MONTH(tbConsumo[[#This Row],[Data]]),"00")</f>
        <v>2026-07</v>
      </c>
    </row>
    <row r="138">
      <c r="A138" s="8" t="inlineStr">
        <is>
          <t>MOV0137</t>
        </is>
      </c>
      <c r="B138" s="13" t="n">
        <v>46234</v>
      </c>
      <c r="C138" s="8" t="inlineStr">
        <is>
          <t>MAT008</t>
        </is>
      </c>
      <c r="D138" s="8" t="inlineStr">
        <is>
          <t>Disco de Corte 4,5 pol</t>
        </is>
      </c>
      <c r="E138" s="8" t="inlineStr">
        <is>
          <t>Corte</t>
        </is>
      </c>
      <c r="F138" s="11" t="n">
        <v>15</v>
      </c>
      <c r="G138" s="8" t="inlineStr">
        <is>
          <t>UN</t>
        </is>
      </c>
      <c r="H138" s="9" t="n">
        <v>5.9</v>
      </c>
      <c r="I138" s="8" t="inlineStr">
        <is>
          <t>MANUTENCAO</t>
        </is>
      </c>
      <c r="J138" s="8" t="inlineStr">
        <is>
          <t>Consumo</t>
        </is>
      </c>
      <c r="K138" s="9">
        <f>ROUND(tbConsumo[[#This Row],[Quantidade]]*tbConsumo[[#This Row],[Custo_Unitario]],2)</f>
        <v>88.5</v>
      </c>
      <c r="L138" s="11" t="str">
        <f>YEAR(tbConsumo[[#This Row],[Data]])&amp;"-"&amp;TEXT(MONTH(tbConsumo[[#This Row],[Data]]),"00")</f>
        <v>2026-07</v>
      </c>
    </row>
    <row r="139">
      <c r="A139" s="8" t="inlineStr">
        <is>
          <t>MOV0138</t>
        </is>
      </c>
      <c r="B139" s="13" t="n">
        <v>46234</v>
      </c>
      <c r="C139" s="8" t="inlineStr">
        <is>
          <t>MAT016</t>
        </is>
      </c>
      <c r="D139" s="8" t="inlineStr">
        <is>
          <t>Óculos de Proteção Incolor</t>
        </is>
      </c>
      <c r="E139" s="8" t="inlineStr">
        <is>
          <t>EPI</t>
        </is>
      </c>
      <c r="F139" s="11" t="n">
        <v>3</v>
      </c>
      <c r="G139" s="8" t="inlineStr">
        <is>
          <t>UN</t>
        </is>
      </c>
      <c r="H139" s="9" t="n">
        <v>6.5</v>
      </c>
      <c r="I139" s="8" t="inlineStr">
        <is>
          <t>FABRICACAO</t>
        </is>
      </c>
      <c r="J139" s="8" t="inlineStr">
        <is>
          <t>Consumo</t>
        </is>
      </c>
      <c r="K139" s="9">
        <f>ROUND(tbConsumo[[#This Row],[Quantidade]]*tbConsumo[[#This Row],[Custo_Unitario]],2)</f>
        <v>19.5</v>
      </c>
      <c r="L139" s="11" t="str">
        <f>YEAR(tbConsumo[[#This Row],[Data]])&amp;"-"&amp;TEXT(MONTH(tbConsumo[[#This Row],[Data]]),"00")</f>
        <v>2026-07</v>
      </c>
    </row>
    <row r="140">
      <c r="A140" s="8" t="inlineStr">
        <is>
          <t>MOV0139</t>
        </is>
      </c>
      <c r="B140" s="13" t="n">
        <v>46234</v>
      </c>
      <c r="C140" s="8" t="inlineStr">
        <is>
          <t>MAT009</t>
        </is>
      </c>
      <c r="D140" s="8" t="inlineStr">
        <is>
          <t>Serra Copo 51 mm</t>
        </is>
      </c>
      <c r="E140" s="8" t="inlineStr">
        <is>
          <t>Corte</t>
        </is>
      </c>
      <c r="F140" s="11" t="n">
        <v>1</v>
      </c>
      <c r="G140" s="8" t="inlineStr">
        <is>
          <t>UN</t>
        </is>
      </c>
      <c r="H140" s="9" t="n">
        <v>46</v>
      </c>
      <c r="I140" s="8" t="inlineStr">
        <is>
          <t>FABRICACAO</t>
        </is>
      </c>
      <c r="J140" s="8" t="inlineStr">
        <is>
          <t>Consumo</t>
        </is>
      </c>
      <c r="K140" s="9">
        <f>ROUND(tbConsumo[[#This Row],[Quantidade]]*tbConsumo[[#This Row],[Custo_Unitario]],2)</f>
        <v>46</v>
      </c>
      <c r="L140" s="11" t="str">
        <f>YEAR(tbConsumo[[#This Row],[Data]])&amp;"-"&amp;TEXT(MONTH(tbConsumo[[#This Row],[Data]]),"00")</f>
        <v>2026-07</v>
      </c>
    </row>
    <row r="141">
      <c r="A141" s="8" t="inlineStr">
        <is>
          <t>MOV0140</t>
        </is>
      </c>
      <c r="B141" s="13" t="n">
        <v>46234</v>
      </c>
      <c r="C141" s="8" t="inlineStr">
        <is>
          <t>MAT016</t>
        </is>
      </c>
      <c r="D141" s="8" t="inlineStr">
        <is>
          <t>Óculos de Proteção Incolor</t>
        </is>
      </c>
      <c r="E141" s="8" t="inlineStr">
        <is>
          <t>EPI</t>
        </is>
      </c>
      <c r="F141" s="11" t="n">
        <v>4</v>
      </c>
      <c r="G141" s="8" t="inlineStr">
        <is>
          <t>UN</t>
        </is>
      </c>
      <c r="H141" s="9" t="n">
        <v>6.5</v>
      </c>
      <c r="I141" s="8" t="inlineStr">
        <is>
          <t>FABRICACAO</t>
        </is>
      </c>
      <c r="J141" s="8" t="inlineStr">
        <is>
          <t>Consumo</t>
        </is>
      </c>
      <c r="K141" s="9">
        <f>ROUND(tbConsumo[[#This Row],[Quantidade]]*tbConsumo[[#This Row],[Custo_Unitario]],2)</f>
        <v>26</v>
      </c>
      <c r="L141" s="11" t="str">
        <f>YEAR(tbConsumo[[#This Row],[Data]])&amp;"-"&amp;TEXT(MONTH(tbConsumo[[#This Row],[Data]]),"00")</f>
        <v>2026-07</v>
      </c>
    </row>
    <row r="142">
      <c r="A142" s="8" t="inlineStr">
        <is>
          <t>MOV0141</t>
        </is>
      </c>
      <c r="B142" s="13" t="n">
        <v>46237</v>
      </c>
      <c r="C142" s="8" t="inlineStr">
        <is>
          <t>MAT009</t>
        </is>
      </c>
      <c r="D142" s="8" t="inlineStr">
        <is>
          <t>Serra Copo 51 mm</t>
        </is>
      </c>
      <c r="E142" s="8" t="inlineStr">
        <is>
          <t>Corte</t>
        </is>
      </c>
      <c r="F142" s="11" t="n">
        <v>2</v>
      </c>
      <c r="G142" s="8" t="inlineStr">
        <is>
          <t>UN</t>
        </is>
      </c>
      <c r="H142" s="9" t="n">
        <v>46</v>
      </c>
      <c r="I142" s="8" t="inlineStr">
        <is>
          <t>MANUTENCAO</t>
        </is>
      </c>
      <c r="J142" s="8" t="inlineStr">
        <is>
          <t>Consumo</t>
        </is>
      </c>
      <c r="K142" s="9">
        <f>ROUND(tbConsumo[[#This Row],[Quantidade]]*tbConsumo[[#This Row],[Custo_Unitario]],2)</f>
        <v>92</v>
      </c>
      <c r="L142" s="11" t="str">
        <f>YEAR(tbConsumo[[#This Row],[Data]])&amp;"-"&amp;TEXT(MONTH(tbConsumo[[#This Row],[Data]]),"00")</f>
        <v>2026-08</v>
      </c>
    </row>
    <row r="143">
      <c r="A143" s="8" t="inlineStr">
        <is>
          <t>MOV0142</t>
        </is>
      </c>
      <c r="B143" s="13" t="n">
        <v>46237</v>
      </c>
      <c r="C143" s="8" t="inlineStr">
        <is>
          <t>MAT002</t>
        </is>
      </c>
      <c r="D143" s="8" t="inlineStr">
        <is>
          <t>Disco Flap 4,5 pol Grão 60</t>
        </is>
      </c>
      <c r="E143" s="8" t="inlineStr">
        <is>
          <t>Abrasivos</t>
        </is>
      </c>
      <c r="F143" s="11" t="n">
        <v>6</v>
      </c>
      <c r="G143" s="8" t="inlineStr">
        <is>
          <t>UN</t>
        </is>
      </c>
      <c r="H143" s="9" t="n">
        <v>7.4</v>
      </c>
      <c r="I143" s="8" t="inlineStr">
        <is>
          <t>MANUTENCAO</t>
        </is>
      </c>
      <c r="J143" s="8" t="inlineStr">
        <is>
          <t>Consumo</t>
        </is>
      </c>
      <c r="K143" s="9">
        <f>ROUND(tbConsumo[[#This Row],[Quantidade]]*tbConsumo[[#This Row],[Custo_Unitario]],2)</f>
        <v>44.4</v>
      </c>
      <c r="L143" s="11" t="str">
        <f>YEAR(tbConsumo[[#This Row],[Data]])&amp;"-"&amp;TEXT(MONTH(tbConsumo[[#This Row],[Data]]),"00")</f>
        <v>2026-08</v>
      </c>
    </row>
    <row r="144">
      <c r="A144" s="8" t="inlineStr">
        <is>
          <t>MOV0143</t>
        </is>
      </c>
      <c r="B144" s="13" t="n">
        <v>46238</v>
      </c>
      <c r="C144" s="8" t="inlineStr">
        <is>
          <t>MAT004</t>
        </is>
      </c>
      <c r="D144" s="8" t="inlineStr">
        <is>
          <t>Bico de Contato MIG 1,0 mm</t>
        </is>
      </c>
      <c r="E144" s="8" t="inlineStr">
        <is>
          <t>Soldagem</t>
        </is>
      </c>
      <c r="F144" s="11" t="n">
        <v>1</v>
      </c>
      <c r="G144" s="8" t="inlineStr">
        <is>
          <t>PCT</t>
        </is>
      </c>
      <c r="H144" s="9" t="n">
        <v>45</v>
      </c>
      <c r="I144" s="8" t="inlineStr">
        <is>
          <t>SOLDAGEM</t>
        </is>
      </c>
      <c r="J144" s="8" t="inlineStr">
        <is>
          <t>Consumo</t>
        </is>
      </c>
      <c r="K144" s="9">
        <f>ROUND(tbConsumo[[#This Row],[Quantidade]]*tbConsumo[[#This Row],[Custo_Unitario]],2)</f>
        <v>45</v>
      </c>
      <c r="L144" s="11" t="str">
        <f>YEAR(tbConsumo[[#This Row],[Data]])&amp;"-"&amp;TEXT(MONTH(tbConsumo[[#This Row],[Data]]),"00")</f>
        <v>2026-08</v>
      </c>
    </row>
    <row r="145">
      <c r="A145" s="8" t="inlineStr">
        <is>
          <t>MOV0144</t>
        </is>
      </c>
      <c r="B145" s="13" t="n">
        <v>46238</v>
      </c>
      <c r="C145" s="8" t="inlineStr">
        <is>
          <t>MAT004</t>
        </is>
      </c>
      <c r="D145" s="8" t="inlineStr">
        <is>
          <t>Bico de Contato MIG 1,0 mm</t>
        </is>
      </c>
      <c r="E145" s="8" t="inlineStr">
        <is>
          <t>Soldagem</t>
        </is>
      </c>
      <c r="F145" s="11" t="n">
        <v>1</v>
      </c>
      <c r="G145" s="8" t="inlineStr">
        <is>
          <t>PCT</t>
        </is>
      </c>
      <c r="H145" s="9" t="n">
        <v>45</v>
      </c>
      <c r="I145" s="8" t="inlineStr">
        <is>
          <t>FABRICACAO</t>
        </is>
      </c>
      <c r="J145" s="8" t="inlineStr">
        <is>
          <t>Consumo</t>
        </is>
      </c>
      <c r="K145" s="9">
        <f>ROUND(tbConsumo[[#This Row],[Quantidade]]*tbConsumo[[#This Row],[Custo_Unitario]],2)</f>
        <v>45</v>
      </c>
      <c r="L145" s="11" t="str">
        <f>YEAR(tbConsumo[[#This Row],[Data]])&amp;"-"&amp;TEXT(MONTH(tbConsumo[[#This Row],[Data]]),"00")</f>
        <v>2026-08</v>
      </c>
    </row>
    <row r="146">
      <c r="A146" s="8" t="inlineStr">
        <is>
          <t>MOV0145</t>
        </is>
      </c>
      <c r="B146" s="13" t="n">
        <v>46239</v>
      </c>
      <c r="C146" s="8" t="inlineStr">
        <is>
          <t>MAT017</t>
        </is>
      </c>
      <c r="D146" s="8" t="inlineStr">
        <is>
          <t>Máscara Respiratória PFF2</t>
        </is>
      </c>
      <c r="E146" s="8" t="inlineStr">
        <is>
          <t>EPI</t>
        </is>
      </c>
      <c r="F146" s="11" t="n">
        <v>1</v>
      </c>
      <c r="G146" s="8" t="inlineStr">
        <is>
          <t>CX</t>
        </is>
      </c>
      <c r="H146" s="9" t="n">
        <v>72</v>
      </c>
      <c r="I146" s="8" t="inlineStr">
        <is>
          <t>ELETRICA</t>
        </is>
      </c>
      <c r="J146" s="8" t="inlineStr">
        <is>
          <t>Consumo</t>
        </is>
      </c>
      <c r="K146" s="9">
        <f>ROUND(tbConsumo[[#This Row],[Quantidade]]*tbConsumo[[#This Row],[Custo_Unitario]],2)</f>
        <v>72</v>
      </c>
      <c r="L146" s="11" t="str">
        <f>YEAR(tbConsumo[[#This Row],[Data]])&amp;"-"&amp;TEXT(MONTH(tbConsumo[[#This Row],[Data]]),"00")</f>
        <v>2026-08</v>
      </c>
    </row>
    <row r="147">
      <c r="A147" s="8" t="inlineStr">
        <is>
          <t>MOV0146</t>
        </is>
      </c>
      <c r="B147" s="13" t="n">
        <v>46240</v>
      </c>
      <c r="C147" s="8" t="inlineStr">
        <is>
          <t>MAT012</t>
        </is>
      </c>
      <c r="D147" s="8" t="inlineStr">
        <is>
          <t>Fita Isolante 19 mm</t>
        </is>
      </c>
      <c r="E147" s="8" t="inlineStr">
        <is>
          <t>Elétrica</t>
        </is>
      </c>
      <c r="F147" s="11" t="n">
        <v>1</v>
      </c>
      <c r="G147" s="8" t="inlineStr">
        <is>
          <t>PCT</t>
        </is>
      </c>
      <c r="H147" s="9" t="n">
        <v>42</v>
      </c>
      <c r="I147" s="8" t="inlineStr">
        <is>
          <t>ELETRICA</t>
        </is>
      </c>
      <c r="J147" s="8" t="inlineStr">
        <is>
          <t>Consumo</t>
        </is>
      </c>
      <c r="K147" s="9">
        <f>ROUND(tbConsumo[[#This Row],[Quantidade]]*tbConsumo[[#This Row],[Custo_Unitario]],2)</f>
        <v>42</v>
      </c>
      <c r="L147" s="11" t="str">
        <f>YEAR(tbConsumo[[#This Row],[Data]])&amp;"-"&amp;TEXT(MONTH(tbConsumo[[#This Row],[Data]]),"00")</f>
        <v>2026-08</v>
      </c>
    </row>
    <row r="148">
      <c r="A148" s="8" t="inlineStr">
        <is>
          <t>MOV0147</t>
        </is>
      </c>
      <c r="B148" s="13" t="n">
        <v>46241</v>
      </c>
      <c r="C148" s="8" t="inlineStr">
        <is>
          <t>MAT017</t>
        </is>
      </c>
      <c r="D148" s="8" t="inlineStr">
        <is>
          <t>Máscara Respiratória PFF2</t>
        </is>
      </c>
      <c r="E148" s="8" t="inlineStr">
        <is>
          <t>EPI</t>
        </is>
      </c>
      <c r="F148" s="11" t="n">
        <v>1</v>
      </c>
      <c r="G148" s="8" t="inlineStr">
        <is>
          <t>CX</t>
        </is>
      </c>
      <c r="H148" s="9" t="n">
        <v>72</v>
      </c>
      <c r="I148" s="8" t="inlineStr">
        <is>
          <t>MANUTENCAO</t>
        </is>
      </c>
      <c r="J148" s="8" t="inlineStr">
        <is>
          <t>Consumo</t>
        </is>
      </c>
      <c r="K148" s="9">
        <f>ROUND(tbConsumo[[#This Row],[Quantidade]]*tbConsumo[[#This Row],[Custo_Unitario]],2)</f>
        <v>72</v>
      </c>
      <c r="L148" s="11" t="str">
        <f>YEAR(tbConsumo[[#This Row],[Data]])&amp;"-"&amp;TEXT(MONTH(tbConsumo[[#This Row],[Data]]),"00")</f>
        <v>2026-08</v>
      </c>
    </row>
    <row r="149">
      <c r="A149" s="8" t="inlineStr">
        <is>
          <t>MOV0148</t>
        </is>
      </c>
      <c r="B149" s="13" t="n">
        <v>46241</v>
      </c>
      <c r="C149" s="8" t="inlineStr">
        <is>
          <t>MAT010</t>
        </is>
      </c>
      <c r="D149" s="8" t="inlineStr">
        <is>
          <t>Lâmina de Serra Sabre</t>
        </is>
      </c>
      <c r="E149" s="8" t="inlineStr">
        <is>
          <t>Corte</t>
        </is>
      </c>
      <c r="F149" s="11" t="n">
        <v>1</v>
      </c>
      <c r="G149" s="8" t="inlineStr">
        <is>
          <t>PCT</t>
        </is>
      </c>
      <c r="H149" s="9" t="n">
        <v>62</v>
      </c>
      <c r="I149" s="8" t="inlineStr">
        <is>
          <t>SOLDAGEM</t>
        </is>
      </c>
      <c r="J149" s="8" t="inlineStr">
        <is>
          <t>Consumo</t>
        </is>
      </c>
      <c r="K149" s="9">
        <f>ROUND(tbConsumo[[#This Row],[Quantidade]]*tbConsumo[[#This Row],[Custo_Unitario]],2)</f>
        <v>62</v>
      </c>
      <c r="L149" s="11" t="str">
        <f>YEAR(tbConsumo[[#This Row],[Data]])&amp;"-"&amp;TEXT(MONTH(tbConsumo[[#This Row],[Data]]),"00")</f>
        <v>2026-08</v>
      </c>
    </row>
    <row r="150">
      <c r="A150" s="8" t="inlineStr">
        <is>
          <t>MOV0149</t>
        </is>
      </c>
      <c r="B150" s="13" t="n">
        <v>46241</v>
      </c>
      <c r="C150" s="8" t="inlineStr">
        <is>
          <t>MAT008</t>
        </is>
      </c>
      <c r="D150" s="8" t="inlineStr">
        <is>
          <t>Disco de Corte 4,5 pol</t>
        </is>
      </c>
      <c r="E150" s="8" t="inlineStr">
        <is>
          <t>Corte</t>
        </is>
      </c>
      <c r="F150" s="11" t="n">
        <v>56</v>
      </c>
      <c r="G150" s="8" t="inlineStr">
        <is>
          <t>UN</t>
        </is>
      </c>
      <c r="H150" s="9" t="n">
        <v>5.9</v>
      </c>
      <c r="I150" s="8" t="inlineStr">
        <is>
          <t>SOLDAGEM</t>
        </is>
      </c>
      <c r="J150" s="8" t="inlineStr">
        <is>
          <t>Consumo</t>
        </is>
      </c>
      <c r="K150" s="9">
        <f>ROUND(tbConsumo[[#This Row],[Quantidade]]*tbConsumo[[#This Row],[Custo_Unitario]],2)</f>
        <v>330.4</v>
      </c>
      <c r="L150" s="11" t="str">
        <f>YEAR(tbConsumo[[#This Row],[Data]])&amp;"-"&amp;TEXT(MONTH(tbConsumo[[#This Row],[Data]]),"00")</f>
        <v>2026-08</v>
      </c>
    </row>
    <row r="151">
      <c r="A151" s="8" t="inlineStr">
        <is>
          <t>MOV0150</t>
        </is>
      </c>
      <c r="B151" s="13" t="n">
        <v>46244</v>
      </c>
      <c r="C151" s="8" t="inlineStr">
        <is>
          <t>MAT001</t>
        </is>
      </c>
      <c r="D151" s="8" t="inlineStr">
        <is>
          <t>Disco de Desbaste 7 pol</t>
        </is>
      </c>
      <c r="E151" s="8" t="inlineStr">
        <is>
          <t>Abrasivos</t>
        </is>
      </c>
      <c r="F151" s="11" t="n">
        <v>5</v>
      </c>
      <c r="G151" s="8" t="inlineStr">
        <is>
          <t>UN</t>
        </is>
      </c>
      <c r="H151" s="9" t="n">
        <v>9.800000000000001</v>
      </c>
      <c r="I151" s="8" t="inlineStr">
        <is>
          <t>MECANICA</t>
        </is>
      </c>
      <c r="J151" s="8" t="inlineStr">
        <is>
          <t>Consumo</t>
        </is>
      </c>
      <c r="K151" s="9">
        <f>ROUND(tbConsumo[[#This Row],[Quantidade]]*tbConsumo[[#This Row],[Custo_Unitario]],2)</f>
        <v>49</v>
      </c>
      <c r="L151" s="11" t="str">
        <f>YEAR(tbConsumo[[#This Row],[Data]])&amp;"-"&amp;TEXT(MONTH(tbConsumo[[#This Row],[Data]]),"00")</f>
        <v>2026-08</v>
      </c>
    </row>
    <row r="152">
      <c r="A152" s="8" t="inlineStr">
        <is>
          <t>MOV0151</t>
        </is>
      </c>
      <c r="B152" s="13" t="n">
        <v>46244</v>
      </c>
      <c r="C152" s="8" t="inlineStr">
        <is>
          <t>MAT008</t>
        </is>
      </c>
      <c r="D152" s="8" t="inlineStr">
        <is>
          <t>Disco de Corte 4,5 pol</t>
        </is>
      </c>
      <c r="E152" s="8" t="inlineStr">
        <is>
          <t>Corte</t>
        </is>
      </c>
      <c r="F152" s="11" t="n">
        <v>12</v>
      </c>
      <c r="G152" s="8" t="inlineStr">
        <is>
          <t>UN</t>
        </is>
      </c>
      <c r="H152" s="9" t="n">
        <v>5.9</v>
      </c>
      <c r="I152" s="8" t="inlineStr">
        <is>
          <t>FABRICACAO</t>
        </is>
      </c>
      <c r="J152" s="8" t="inlineStr">
        <is>
          <t>Consumo</t>
        </is>
      </c>
      <c r="K152" s="9">
        <f>ROUND(tbConsumo[[#This Row],[Quantidade]]*tbConsumo[[#This Row],[Custo_Unitario]],2)</f>
        <v>70.8</v>
      </c>
      <c r="L152" s="11" t="str">
        <f>YEAR(tbConsumo[[#This Row],[Data]])&amp;"-"&amp;TEXT(MONTH(tbConsumo[[#This Row],[Data]]),"00")</f>
        <v>2026-08</v>
      </c>
    </row>
    <row r="153">
      <c r="A153" s="8" t="inlineStr">
        <is>
          <t>MOV0152</t>
        </is>
      </c>
      <c r="B153" s="13" t="n">
        <v>46244</v>
      </c>
      <c r="C153" s="8" t="inlineStr">
        <is>
          <t>MAT015</t>
        </is>
      </c>
      <c r="D153" s="8" t="inlineStr">
        <is>
          <t>Luva de Raspa</t>
        </is>
      </c>
      <c r="E153" s="8" t="inlineStr">
        <is>
          <t>EPI</t>
        </is>
      </c>
      <c r="F153" s="11" t="n">
        <v>2</v>
      </c>
      <c r="G153" s="8" t="inlineStr">
        <is>
          <t>PAR</t>
        </is>
      </c>
      <c r="H153" s="9" t="n">
        <v>15</v>
      </c>
      <c r="I153" s="8" t="inlineStr">
        <is>
          <t>MECANICA</t>
        </is>
      </c>
      <c r="J153" s="8" t="inlineStr">
        <is>
          <t>Consumo</t>
        </is>
      </c>
      <c r="K153" s="9">
        <f>ROUND(tbConsumo[[#This Row],[Quantidade]]*tbConsumo[[#This Row],[Custo_Unitario]],2)</f>
        <v>30</v>
      </c>
      <c r="L153" s="11" t="str">
        <f>YEAR(tbConsumo[[#This Row],[Data]])&amp;"-"&amp;TEXT(MONTH(tbConsumo[[#This Row],[Data]]),"00")</f>
        <v>2026-08</v>
      </c>
    </row>
    <row r="154">
      <c r="A154" s="8" t="inlineStr">
        <is>
          <t>MOV0153</t>
        </is>
      </c>
      <c r="B154" s="13" t="n">
        <v>46244</v>
      </c>
      <c r="C154" s="8" t="inlineStr">
        <is>
          <t>MAT011</t>
        </is>
      </c>
      <c r="D154" s="8" t="inlineStr">
        <is>
          <t>Cabo Flexível 2,5 mm² Rolo</t>
        </is>
      </c>
      <c r="E154" s="8" t="inlineStr">
        <is>
          <t>Elétrica</t>
        </is>
      </c>
      <c r="F154" s="11" t="n">
        <v>1</v>
      </c>
      <c r="G154" s="8" t="inlineStr">
        <is>
          <t>UN</t>
        </is>
      </c>
      <c r="H154" s="9" t="n">
        <v>285</v>
      </c>
      <c r="I154" s="8" t="inlineStr">
        <is>
          <t>ELETRICA</t>
        </is>
      </c>
      <c r="J154" s="8" t="inlineStr">
        <is>
          <t>Consumo</t>
        </is>
      </c>
      <c r="K154" s="9">
        <f>ROUND(tbConsumo[[#This Row],[Quantidade]]*tbConsumo[[#This Row],[Custo_Unitario]],2)</f>
        <v>285</v>
      </c>
      <c r="L154" s="11" t="str">
        <f>YEAR(tbConsumo[[#This Row],[Data]])&amp;"-"&amp;TEXT(MONTH(tbConsumo[[#This Row],[Data]]),"00")</f>
        <v>2026-08</v>
      </c>
    </row>
    <row r="155">
      <c r="A155" s="8" t="inlineStr">
        <is>
          <t>MOV0154</t>
        </is>
      </c>
      <c r="B155" s="13" t="n">
        <v>46244</v>
      </c>
      <c r="C155" s="8" t="inlineStr">
        <is>
          <t>MAT005</t>
        </is>
      </c>
      <c r="D155" s="8" t="inlineStr">
        <is>
          <t>Eletrodo Revestido 2,5 mm</t>
        </is>
      </c>
      <c r="E155" s="8" t="inlineStr">
        <is>
          <t>Soldagem</t>
        </is>
      </c>
      <c r="F155" s="11" t="n">
        <v>4</v>
      </c>
      <c r="G155" s="8" t="inlineStr">
        <is>
          <t>CX</t>
        </is>
      </c>
      <c r="H155" s="9" t="n">
        <v>96</v>
      </c>
      <c r="I155" s="8" t="inlineStr">
        <is>
          <t>SOLDAGEM</t>
        </is>
      </c>
      <c r="J155" s="8" t="inlineStr">
        <is>
          <t>Consumo</t>
        </is>
      </c>
      <c r="K155" s="9">
        <f>ROUND(tbConsumo[[#This Row],[Quantidade]]*tbConsumo[[#This Row],[Custo_Unitario]],2)</f>
        <v>384</v>
      </c>
      <c r="L155" s="11" t="str">
        <f>YEAR(tbConsumo[[#This Row],[Data]])&amp;"-"&amp;TEXT(MONTH(tbConsumo[[#This Row],[Data]]),"00")</f>
        <v>2026-08</v>
      </c>
    </row>
    <row r="156">
      <c r="A156" s="8" t="inlineStr">
        <is>
          <t>MOV0155</t>
        </is>
      </c>
      <c r="B156" s="13" t="n">
        <v>46245</v>
      </c>
      <c r="C156" s="8" t="inlineStr">
        <is>
          <t>MAT015</t>
        </is>
      </c>
      <c r="D156" s="8" t="inlineStr">
        <is>
          <t>Luva de Raspa</t>
        </is>
      </c>
      <c r="E156" s="8" t="inlineStr">
        <is>
          <t>EPI</t>
        </is>
      </c>
      <c r="F156" s="11" t="n">
        <v>3</v>
      </c>
      <c r="G156" s="8" t="inlineStr">
        <is>
          <t>PAR</t>
        </is>
      </c>
      <c r="H156" s="9" t="n">
        <v>15</v>
      </c>
      <c r="I156" s="8" t="inlineStr">
        <is>
          <t>FABRICACAO</t>
        </is>
      </c>
      <c r="J156" s="8" t="inlineStr">
        <is>
          <t>Consumo</t>
        </is>
      </c>
      <c r="K156" s="9">
        <f>ROUND(tbConsumo[[#This Row],[Quantidade]]*tbConsumo[[#This Row],[Custo_Unitario]],2)</f>
        <v>45</v>
      </c>
      <c r="L156" s="11" t="str">
        <f>YEAR(tbConsumo[[#This Row],[Data]])&amp;"-"&amp;TEXT(MONTH(tbConsumo[[#This Row],[Data]]),"00")</f>
        <v>2026-08</v>
      </c>
    </row>
    <row r="157">
      <c r="A157" s="8" t="inlineStr">
        <is>
          <t>MOV0156</t>
        </is>
      </c>
      <c r="B157" s="13" t="n">
        <v>46245</v>
      </c>
      <c r="C157" s="8" t="inlineStr">
        <is>
          <t>MAT002</t>
        </is>
      </c>
      <c r="D157" s="8" t="inlineStr">
        <is>
          <t>Disco Flap 4,5 pol Grão 60</t>
        </is>
      </c>
      <c r="E157" s="8" t="inlineStr">
        <is>
          <t>Abrasivos</t>
        </is>
      </c>
      <c r="F157" s="11" t="n">
        <v>7</v>
      </c>
      <c r="G157" s="8" t="inlineStr">
        <is>
          <t>UN</t>
        </is>
      </c>
      <c r="H157" s="9" t="n">
        <v>7.4</v>
      </c>
      <c r="I157" s="8" t="inlineStr">
        <is>
          <t>MANUTENCAO</t>
        </is>
      </c>
      <c r="J157" s="8" t="inlineStr">
        <is>
          <t>Consumo</t>
        </is>
      </c>
      <c r="K157" s="9">
        <f>ROUND(tbConsumo[[#This Row],[Quantidade]]*tbConsumo[[#This Row],[Custo_Unitario]],2)</f>
        <v>51.8</v>
      </c>
      <c r="L157" s="11" t="str">
        <f>YEAR(tbConsumo[[#This Row],[Data]])&amp;"-"&amp;TEXT(MONTH(tbConsumo[[#This Row],[Data]]),"00")</f>
        <v>2026-08</v>
      </c>
    </row>
    <row r="158">
      <c r="A158" s="8" t="inlineStr">
        <is>
          <t>MOV0157</t>
        </is>
      </c>
      <c r="B158" s="13" t="n">
        <v>46245</v>
      </c>
      <c r="C158" s="8" t="inlineStr">
        <is>
          <t>MAT016</t>
        </is>
      </c>
      <c r="D158" s="8" t="inlineStr">
        <is>
          <t>Óculos de Proteção Incolor</t>
        </is>
      </c>
      <c r="E158" s="8" t="inlineStr">
        <is>
          <t>EPI</t>
        </is>
      </c>
      <c r="F158" s="11" t="n">
        <v>10</v>
      </c>
      <c r="G158" s="8" t="inlineStr">
        <is>
          <t>UN</t>
        </is>
      </c>
      <c r="H158" s="9" t="n">
        <v>6.5</v>
      </c>
      <c r="I158" s="8" t="inlineStr">
        <is>
          <t>MANUTENCAO</t>
        </is>
      </c>
      <c r="J158" s="8" t="inlineStr">
        <is>
          <t>Consumo</t>
        </is>
      </c>
      <c r="K158" s="9">
        <f>ROUND(tbConsumo[[#This Row],[Quantidade]]*tbConsumo[[#This Row],[Custo_Unitario]],2)</f>
        <v>65</v>
      </c>
      <c r="L158" s="11" t="str">
        <f>YEAR(tbConsumo[[#This Row],[Data]])&amp;"-"&amp;TEXT(MONTH(tbConsumo[[#This Row],[Data]]),"00")</f>
        <v>2026-08</v>
      </c>
    </row>
    <row r="159">
      <c r="A159" s="8" t="inlineStr">
        <is>
          <t>MOV0158</t>
        </is>
      </c>
      <c r="B159" s="13" t="n">
        <v>46245</v>
      </c>
      <c r="C159" s="8" t="inlineStr">
        <is>
          <t>MAT016</t>
        </is>
      </c>
      <c r="D159" s="8" t="inlineStr">
        <is>
          <t>Óculos de Proteção Incolor</t>
        </is>
      </c>
      <c r="E159" s="8" t="inlineStr">
        <is>
          <t>EPI</t>
        </is>
      </c>
      <c r="F159" s="11" t="n">
        <v>2</v>
      </c>
      <c r="G159" s="8" t="inlineStr">
        <is>
          <t>UN</t>
        </is>
      </c>
      <c r="H159" s="9" t="n">
        <v>6.5</v>
      </c>
      <c r="I159" s="8" t="inlineStr">
        <is>
          <t>MECANICA</t>
        </is>
      </c>
      <c r="J159" s="8" t="inlineStr">
        <is>
          <t>Consumo</t>
        </is>
      </c>
      <c r="K159" s="9">
        <f>ROUND(tbConsumo[[#This Row],[Quantidade]]*tbConsumo[[#This Row],[Custo_Unitario]],2)</f>
        <v>13</v>
      </c>
      <c r="L159" s="11" t="str">
        <f>YEAR(tbConsumo[[#This Row],[Data]])&amp;"-"&amp;TEXT(MONTH(tbConsumo[[#This Row],[Data]]),"00")</f>
        <v>2026-08</v>
      </c>
    </row>
    <row r="160">
      <c r="A160" s="8" t="inlineStr">
        <is>
          <t>MOV0159</t>
        </is>
      </c>
      <c r="B160" s="13" t="n">
        <v>46245</v>
      </c>
      <c r="C160" s="8" t="inlineStr">
        <is>
          <t>MAT003</t>
        </is>
      </c>
      <c r="D160" s="8" t="inlineStr">
        <is>
          <t>Lixa de Ferro Grão 80</t>
        </is>
      </c>
      <c r="E160" s="8" t="inlineStr">
        <is>
          <t>Abrasivos</t>
        </is>
      </c>
      <c r="F160" s="11" t="n">
        <v>4</v>
      </c>
      <c r="G160" s="8" t="inlineStr">
        <is>
          <t>PCT</t>
        </is>
      </c>
      <c r="H160" s="9" t="n">
        <v>38</v>
      </c>
      <c r="I160" s="8" t="inlineStr">
        <is>
          <t>MANUTENCAO</t>
        </is>
      </c>
      <c r="J160" s="8" t="inlineStr">
        <is>
          <t>Consumo</t>
        </is>
      </c>
      <c r="K160" s="9">
        <f>ROUND(tbConsumo[[#This Row],[Quantidade]]*tbConsumo[[#This Row],[Custo_Unitario]],2)</f>
        <v>152</v>
      </c>
      <c r="L160" s="11" t="str">
        <f>YEAR(tbConsumo[[#This Row],[Data]])&amp;"-"&amp;TEXT(MONTH(tbConsumo[[#This Row],[Data]]),"00")</f>
        <v>2026-08</v>
      </c>
    </row>
    <row r="161">
      <c r="A161" s="8" t="inlineStr">
        <is>
          <t>MOV0160</t>
        </is>
      </c>
      <c r="B161" s="13" t="n">
        <v>46247</v>
      </c>
      <c r="C161" s="8" t="inlineStr">
        <is>
          <t>MAT011</t>
        </is>
      </c>
      <c r="D161" s="8" t="inlineStr">
        <is>
          <t>Cabo Flexível 2,5 mm² Rolo</t>
        </is>
      </c>
      <c r="E161" s="8" t="inlineStr">
        <is>
          <t>Elétrica</t>
        </is>
      </c>
      <c r="F161" s="11" t="n">
        <v>1</v>
      </c>
      <c r="G161" s="8" t="inlineStr">
        <is>
          <t>UN</t>
        </is>
      </c>
      <c r="H161" s="9" t="n">
        <v>285</v>
      </c>
      <c r="I161" s="8" t="inlineStr">
        <is>
          <t>ELETRICA</t>
        </is>
      </c>
      <c r="J161" s="8" t="inlineStr">
        <is>
          <t>Consumo</t>
        </is>
      </c>
      <c r="K161" s="9">
        <f>ROUND(tbConsumo[[#This Row],[Quantidade]]*tbConsumo[[#This Row],[Custo_Unitario]],2)</f>
        <v>285</v>
      </c>
      <c r="L161" s="11" t="str">
        <f>YEAR(tbConsumo[[#This Row],[Data]])&amp;"-"&amp;TEXT(MONTH(tbConsumo[[#This Row],[Data]]),"00")</f>
        <v>2026-08</v>
      </c>
    </row>
    <row r="162">
      <c r="A162" s="8" t="inlineStr">
        <is>
          <t>MOV0161</t>
        </is>
      </c>
      <c r="B162" s="13" t="n">
        <v>46247</v>
      </c>
      <c r="C162" s="8" t="inlineStr">
        <is>
          <t>MAT008</t>
        </is>
      </c>
      <c r="D162" s="8" t="inlineStr">
        <is>
          <t>Disco de Corte 4,5 pol</t>
        </is>
      </c>
      <c r="E162" s="8" t="inlineStr">
        <is>
          <t>Corte</t>
        </is>
      </c>
      <c r="F162" s="11" t="n">
        <v>27</v>
      </c>
      <c r="G162" s="8" t="inlineStr">
        <is>
          <t>UN</t>
        </is>
      </c>
      <c r="H162" s="9" t="n">
        <v>5.9</v>
      </c>
      <c r="I162" s="8" t="inlineStr">
        <is>
          <t>MECANICA</t>
        </is>
      </c>
      <c r="J162" s="8" t="inlineStr">
        <is>
          <t>Consumo</t>
        </is>
      </c>
      <c r="K162" s="9">
        <f>ROUND(tbConsumo[[#This Row],[Quantidade]]*tbConsumo[[#This Row],[Custo_Unitario]],2)</f>
        <v>159.3</v>
      </c>
      <c r="L162" s="11" t="str">
        <f>YEAR(tbConsumo[[#This Row],[Data]])&amp;"-"&amp;TEXT(MONTH(tbConsumo[[#This Row],[Data]]),"00")</f>
        <v>2026-08</v>
      </c>
    </row>
    <row r="163">
      <c r="A163" s="8" t="inlineStr">
        <is>
          <t>MOV0162</t>
        </is>
      </c>
      <c r="B163" s="13" t="n">
        <v>46248</v>
      </c>
      <c r="C163" s="8" t="inlineStr">
        <is>
          <t>MAT002</t>
        </is>
      </c>
      <c r="D163" s="8" t="inlineStr">
        <is>
          <t>Disco Flap 4,5 pol Grão 60</t>
        </is>
      </c>
      <c r="E163" s="8" t="inlineStr">
        <is>
          <t>Abrasivos</t>
        </is>
      </c>
      <c r="F163" s="11" t="n">
        <v>5</v>
      </c>
      <c r="G163" s="8" t="inlineStr">
        <is>
          <t>UN</t>
        </is>
      </c>
      <c r="H163" s="9" t="n">
        <v>7.4</v>
      </c>
      <c r="I163" s="8" t="inlineStr">
        <is>
          <t>MECANICA</t>
        </is>
      </c>
      <c r="J163" s="8" t="inlineStr">
        <is>
          <t>Consumo</t>
        </is>
      </c>
      <c r="K163" s="9">
        <f>ROUND(tbConsumo[[#This Row],[Quantidade]]*tbConsumo[[#This Row],[Custo_Unitario]],2)</f>
        <v>37</v>
      </c>
      <c r="L163" s="11" t="str">
        <f>YEAR(tbConsumo[[#This Row],[Data]])&amp;"-"&amp;TEXT(MONTH(tbConsumo[[#This Row],[Data]]),"00")</f>
        <v>2026-08</v>
      </c>
    </row>
    <row r="164">
      <c r="A164" s="8" t="inlineStr">
        <is>
          <t>MOV0163</t>
        </is>
      </c>
      <c r="B164" s="13" t="n">
        <v>46248</v>
      </c>
      <c r="C164" s="8" t="inlineStr">
        <is>
          <t>MAT003</t>
        </is>
      </c>
      <c r="D164" s="8" t="inlineStr">
        <is>
          <t>Lixa de Ferro Grão 80</t>
        </is>
      </c>
      <c r="E164" s="8" t="inlineStr">
        <is>
          <t>Abrasivos</t>
        </is>
      </c>
      <c r="F164" s="11" t="n">
        <v>1</v>
      </c>
      <c r="G164" s="8" t="inlineStr">
        <is>
          <t>PCT</t>
        </is>
      </c>
      <c r="H164" s="9" t="n">
        <v>38</v>
      </c>
      <c r="I164" s="8" t="inlineStr">
        <is>
          <t>SOLDAGEM</t>
        </is>
      </c>
      <c r="J164" s="8" t="inlineStr">
        <is>
          <t>Consumo</t>
        </is>
      </c>
      <c r="K164" s="9">
        <f>ROUND(tbConsumo[[#This Row],[Quantidade]]*tbConsumo[[#This Row],[Custo_Unitario]],2)</f>
        <v>38</v>
      </c>
      <c r="L164" s="11" t="str">
        <f>YEAR(tbConsumo[[#This Row],[Data]])&amp;"-"&amp;TEXT(MONTH(tbConsumo[[#This Row],[Data]]),"00")</f>
        <v>2026-08</v>
      </c>
    </row>
    <row r="165">
      <c r="A165" s="8" t="inlineStr">
        <is>
          <t>MOV0164</t>
        </is>
      </c>
      <c r="B165" s="13" t="n">
        <v>46248</v>
      </c>
      <c r="C165" s="8" t="inlineStr">
        <is>
          <t>MAT005</t>
        </is>
      </c>
      <c r="D165" s="8" t="inlineStr">
        <is>
          <t>Eletrodo Revestido 2,5 mm</t>
        </is>
      </c>
      <c r="E165" s="8" t="inlineStr">
        <is>
          <t>Soldagem</t>
        </is>
      </c>
      <c r="F165" s="11" t="n">
        <v>3</v>
      </c>
      <c r="G165" s="8" t="inlineStr">
        <is>
          <t>CX</t>
        </is>
      </c>
      <c r="H165" s="9" t="n">
        <v>96</v>
      </c>
      <c r="I165" s="8" t="inlineStr">
        <is>
          <t>MANUTENCAO</t>
        </is>
      </c>
      <c r="J165" s="8" t="inlineStr">
        <is>
          <t>Consumo</t>
        </is>
      </c>
      <c r="K165" s="9">
        <f>ROUND(tbConsumo[[#This Row],[Quantidade]]*tbConsumo[[#This Row],[Custo_Unitario]],2)</f>
        <v>288</v>
      </c>
      <c r="L165" s="11" t="str">
        <f>YEAR(tbConsumo[[#This Row],[Data]])&amp;"-"&amp;TEXT(MONTH(tbConsumo[[#This Row],[Data]]),"00")</f>
        <v>2026-08</v>
      </c>
    </row>
    <row r="166">
      <c r="A166" s="8" t="inlineStr">
        <is>
          <t>MOV0165</t>
        </is>
      </c>
      <c r="B166" s="13" t="n">
        <v>46249</v>
      </c>
      <c r="C166" s="8" t="inlineStr">
        <is>
          <t>MAT013</t>
        </is>
      </c>
      <c r="D166" s="8" t="inlineStr">
        <is>
          <t>Terminal de Compressão 6 mm²</t>
        </is>
      </c>
      <c r="E166" s="8" t="inlineStr">
        <is>
          <t>Elétrica</t>
        </is>
      </c>
      <c r="F166" s="11" t="n">
        <v>3</v>
      </c>
      <c r="G166" s="8" t="inlineStr">
        <is>
          <t>PCT</t>
        </is>
      </c>
      <c r="H166" s="9" t="n">
        <v>28</v>
      </c>
      <c r="I166" s="8" t="inlineStr">
        <is>
          <t>SOLDAGEM</t>
        </is>
      </c>
      <c r="J166" s="8" t="inlineStr">
        <is>
          <t>Consumo</t>
        </is>
      </c>
      <c r="K166" s="9">
        <f>ROUND(tbConsumo[[#This Row],[Quantidade]]*tbConsumo[[#This Row],[Custo_Unitario]],2)</f>
        <v>84</v>
      </c>
      <c r="L166" s="11" t="str">
        <f>YEAR(tbConsumo[[#This Row],[Data]])&amp;"-"&amp;TEXT(MONTH(tbConsumo[[#This Row],[Data]]),"00")</f>
        <v>2026-08</v>
      </c>
    </row>
    <row r="167">
      <c r="A167" s="8" t="inlineStr">
        <is>
          <t>MOV0166</t>
        </is>
      </c>
      <c r="B167" s="13" t="n">
        <v>46251</v>
      </c>
      <c r="C167" s="8" t="inlineStr">
        <is>
          <t>MAT007</t>
        </is>
      </c>
      <c r="D167" s="8" t="inlineStr">
        <is>
          <t>Disco de Corte 7 pol</t>
        </is>
      </c>
      <c r="E167" s="8" t="inlineStr">
        <is>
          <t>Corte</t>
        </is>
      </c>
      <c r="F167" s="11" t="n">
        <v>7</v>
      </c>
      <c r="G167" s="8" t="inlineStr">
        <is>
          <t>UN</t>
        </is>
      </c>
      <c r="H167" s="9" t="n">
        <v>12.5</v>
      </c>
      <c r="I167" s="8" t="inlineStr">
        <is>
          <t>FABRICACAO</t>
        </is>
      </c>
      <c r="J167" s="8" t="inlineStr">
        <is>
          <t>Consumo</t>
        </is>
      </c>
      <c r="K167" s="9">
        <f>ROUND(tbConsumo[[#This Row],[Quantidade]]*tbConsumo[[#This Row],[Custo_Unitario]],2)</f>
        <v>87.5</v>
      </c>
      <c r="L167" s="11" t="str">
        <f>YEAR(tbConsumo[[#This Row],[Data]])&amp;"-"&amp;TEXT(MONTH(tbConsumo[[#This Row],[Data]]),"00")</f>
        <v>2026-08</v>
      </c>
    </row>
    <row r="168">
      <c r="A168" s="8" t="inlineStr">
        <is>
          <t>MOV0167</t>
        </is>
      </c>
      <c r="B168" s="13" t="n">
        <v>46251</v>
      </c>
      <c r="C168" s="8" t="inlineStr">
        <is>
          <t>MAT014</t>
        </is>
      </c>
      <c r="D168" s="8" t="inlineStr">
        <is>
          <t>Disjuntor Tripolar 32 A</t>
        </is>
      </c>
      <c r="E168" s="8" t="inlineStr">
        <is>
          <t>Elétrica</t>
        </is>
      </c>
      <c r="F168" s="11" t="n">
        <v>2</v>
      </c>
      <c r="G168" s="8" t="inlineStr">
        <is>
          <t>UN</t>
        </is>
      </c>
      <c r="H168" s="9" t="n">
        <v>118</v>
      </c>
      <c r="I168" s="8" t="inlineStr">
        <is>
          <t>ELETRICA</t>
        </is>
      </c>
      <c r="J168" s="8" t="inlineStr">
        <is>
          <t>Consumo</t>
        </is>
      </c>
      <c r="K168" s="9">
        <f>ROUND(tbConsumo[[#This Row],[Quantidade]]*tbConsumo[[#This Row],[Custo_Unitario]],2)</f>
        <v>236</v>
      </c>
      <c r="L168" s="11" t="str">
        <f>YEAR(tbConsumo[[#This Row],[Data]])&amp;"-"&amp;TEXT(MONTH(tbConsumo[[#This Row],[Data]]),"00")</f>
        <v>2026-08</v>
      </c>
    </row>
    <row r="169">
      <c r="A169" s="8" t="inlineStr">
        <is>
          <t>MOV0168</t>
        </is>
      </c>
      <c r="B169" s="13" t="n">
        <v>46251</v>
      </c>
      <c r="C169" s="8" t="inlineStr">
        <is>
          <t>MAT017</t>
        </is>
      </c>
      <c r="D169" s="8" t="inlineStr">
        <is>
          <t>Máscara Respiratória PFF2</t>
        </is>
      </c>
      <c r="E169" s="8" t="inlineStr">
        <is>
          <t>EPI</t>
        </is>
      </c>
      <c r="F169" s="11" t="n">
        <v>2</v>
      </c>
      <c r="G169" s="8" t="inlineStr">
        <is>
          <t>CX</t>
        </is>
      </c>
      <c r="H169" s="9" t="n">
        <v>72</v>
      </c>
      <c r="I169" s="8" t="inlineStr">
        <is>
          <t>MECANICA</t>
        </is>
      </c>
      <c r="J169" s="8" t="inlineStr">
        <is>
          <t>Consumo</t>
        </is>
      </c>
      <c r="K169" s="9">
        <f>ROUND(tbConsumo[[#This Row],[Quantidade]]*tbConsumo[[#This Row],[Custo_Unitario]],2)</f>
        <v>144</v>
      </c>
      <c r="L169" s="11" t="str">
        <f>YEAR(tbConsumo[[#This Row],[Data]])&amp;"-"&amp;TEXT(MONTH(tbConsumo[[#This Row],[Data]]),"00")</f>
        <v>2026-08</v>
      </c>
    </row>
    <row r="170">
      <c r="A170" s="8" t="inlineStr">
        <is>
          <t>MOV0169</t>
        </is>
      </c>
      <c r="B170" s="13" t="n">
        <v>46251</v>
      </c>
      <c r="C170" s="8" t="inlineStr">
        <is>
          <t>MAT016</t>
        </is>
      </c>
      <c r="D170" s="8" t="inlineStr">
        <is>
          <t>Óculos de Proteção Incolor</t>
        </is>
      </c>
      <c r="E170" s="8" t="inlineStr">
        <is>
          <t>EPI</t>
        </is>
      </c>
      <c r="F170" s="11" t="n">
        <v>7</v>
      </c>
      <c r="G170" s="8" t="inlineStr">
        <is>
          <t>UN</t>
        </is>
      </c>
      <c r="H170" s="9" t="n">
        <v>6.5</v>
      </c>
      <c r="I170" s="8" t="inlineStr">
        <is>
          <t>MECANICA</t>
        </is>
      </c>
      <c r="J170" s="8" t="inlineStr">
        <is>
          <t>Consumo</t>
        </is>
      </c>
      <c r="K170" s="9">
        <f>ROUND(tbConsumo[[#This Row],[Quantidade]]*tbConsumo[[#This Row],[Custo_Unitario]],2)</f>
        <v>45.5</v>
      </c>
      <c r="L170" s="11" t="str">
        <f>YEAR(tbConsumo[[#This Row],[Data]])&amp;"-"&amp;TEXT(MONTH(tbConsumo[[#This Row],[Data]]),"00")</f>
        <v>2026-08</v>
      </c>
    </row>
    <row r="171">
      <c r="A171" s="8" t="inlineStr">
        <is>
          <t>MOV0170</t>
        </is>
      </c>
      <c r="B171" s="13" t="n">
        <v>46253</v>
      </c>
      <c r="C171" s="8" t="inlineStr">
        <is>
          <t>MAT007</t>
        </is>
      </c>
      <c r="D171" s="8" t="inlineStr">
        <is>
          <t>Disco de Corte 7 pol</t>
        </is>
      </c>
      <c r="E171" s="8" t="inlineStr">
        <is>
          <t>Corte</t>
        </is>
      </c>
      <c r="F171" s="11" t="n">
        <v>13</v>
      </c>
      <c r="G171" s="8" t="inlineStr">
        <is>
          <t>UN</t>
        </is>
      </c>
      <c r="H171" s="9" t="n">
        <v>12.5</v>
      </c>
      <c r="I171" s="8" t="inlineStr">
        <is>
          <t>SOLDAGEM</t>
        </is>
      </c>
      <c r="J171" s="8" t="inlineStr">
        <is>
          <t>Consumo</t>
        </is>
      </c>
      <c r="K171" s="9">
        <f>ROUND(tbConsumo[[#This Row],[Quantidade]]*tbConsumo[[#This Row],[Custo_Unitario]],2)</f>
        <v>162.5</v>
      </c>
      <c r="L171" s="11" t="str">
        <f>YEAR(tbConsumo[[#This Row],[Data]])&amp;"-"&amp;TEXT(MONTH(tbConsumo[[#This Row],[Data]]),"00")</f>
        <v>2026-08</v>
      </c>
    </row>
    <row r="172">
      <c r="A172" s="8" t="inlineStr">
        <is>
          <t>MOV0171</t>
        </is>
      </c>
      <c r="B172" s="13" t="n">
        <v>46253</v>
      </c>
      <c r="C172" s="8" t="inlineStr">
        <is>
          <t>MAT007</t>
        </is>
      </c>
      <c r="D172" s="8" t="inlineStr">
        <is>
          <t>Disco de Corte 7 pol</t>
        </is>
      </c>
      <c r="E172" s="8" t="inlineStr">
        <is>
          <t>Corte</t>
        </is>
      </c>
      <c r="F172" s="11" t="n">
        <v>15</v>
      </c>
      <c r="G172" s="8" t="inlineStr">
        <is>
          <t>UN</t>
        </is>
      </c>
      <c r="H172" s="9" t="n">
        <v>12.5</v>
      </c>
      <c r="I172" s="8" t="inlineStr">
        <is>
          <t>FABRICACAO</t>
        </is>
      </c>
      <c r="J172" s="8" t="inlineStr">
        <is>
          <t>Consumo</t>
        </is>
      </c>
      <c r="K172" s="9">
        <f>ROUND(tbConsumo[[#This Row],[Quantidade]]*tbConsumo[[#This Row],[Custo_Unitario]],2)</f>
        <v>187.5</v>
      </c>
      <c r="L172" s="11" t="str">
        <f>YEAR(tbConsumo[[#This Row],[Data]])&amp;"-"&amp;TEXT(MONTH(tbConsumo[[#This Row],[Data]]),"00")</f>
        <v>2026-08</v>
      </c>
    </row>
    <row r="173">
      <c r="A173" s="8" t="inlineStr">
        <is>
          <t>MOV0172</t>
        </is>
      </c>
      <c r="B173" s="13" t="n">
        <v>46254</v>
      </c>
      <c r="C173" s="8" t="inlineStr">
        <is>
          <t>MAT002</t>
        </is>
      </c>
      <c r="D173" s="8" t="inlineStr">
        <is>
          <t>Disco Flap 4,5 pol Grão 60</t>
        </is>
      </c>
      <c r="E173" s="8" t="inlineStr">
        <is>
          <t>Abrasivos</t>
        </is>
      </c>
      <c r="F173" s="11" t="n">
        <v>17</v>
      </c>
      <c r="G173" s="8" t="inlineStr">
        <is>
          <t>UN</t>
        </is>
      </c>
      <c r="H173" s="9" t="n">
        <v>7.4</v>
      </c>
      <c r="I173" s="8" t="inlineStr">
        <is>
          <t>FABRICACAO</t>
        </is>
      </c>
      <c r="J173" s="8" t="inlineStr">
        <is>
          <t>Consumo</t>
        </is>
      </c>
      <c r="K173" s="9">
        <f>ROUND(tbConsumo[[#This Row],[Quantidade]]*tbConsumo[[#This Row],[Custo_Unitario]],2)</f>
        <v>125.8</v>
      </c>
      <c r="L173" s="11" t="str">
        <f>YEAR(tbConsumo[[#This Row],[Data]])&amp;"-"&amp;TEXT(MONTH(tbConsumo[[#This Row],[Data]]),"00")</f>
        <v>2026-08</v>
      </c>
    </row>
    <row r="174">
      <c r="A174" s="8" t="inlineStr">
        <is>
          <t>MOV0173</t>
        </is>
      </c>
      <c r="B174" s="13" t="n">
        <v>46255</v>
      </c>
      <c r="C174" s="8" t="inlineStr">
        <is>
          <t>MAT020</t>
        </is>
      </c>
      <c r="D174" s="8" t="inlineStr">
        <is>
          <t>Broca de Aço Rápido 10 mm</t>
        </is>
      </c>
      <c r="E174" s="8" t="inlineStr">
        <is>
          <t>Ferramentas</t>
        </is>
      </c>
      <c r="F174" s="11" t="n">
        <v>4</v>
      </c>
      <c r="G174" s="8" t="inlineStr">
        <is>
          <t>UN</t>
        </is>
      </c>
      <c r="H174" s="9" t="n">
        <v>21</v>
      </c>
      <c r="I174" s="8" t="inlineStr">
        <is>
          <t>MANUTENCAO</t>
        </is>
      </c>
      <c r="J174" s="8" t="inlineStr">
        <is>
          <t>Consumo</t>
        </is>
      </c>
      <c r="K174" s="9">
        <f>ROUND(tbConsumo[[#This Row],[Quantidade]]*tbConsumo[[#This Row],[Custo_Unitario]],2)</f>
        <v>84</v>
      </c>
      <c r="L174" s="11" t="str">
        <f>YEAR(tbConsumo[[#This Row],[Data]])&amp;"-"&amp;TEXT(MONTH(tbConsumo[[#This Row],[Data]]),"00")</f>
        <v>2026-08</v>
      </c>
    </row>
    <row r="175">
      <c r="A175" s="8" t="inlineStr">
        <is>
          <t>MOV0174</t>
        </is>
      </c>
      <c r="B175" s="13" t="n">
        <v>46261</v>
      </c>
      <c r="C175" s="8" t="inlineStr">
        <is>
          <t>MAT011</t>
        </is>
      </c>
      <c r="D175" s="8" t="inlineStr">
        <is>
          <t>Cabo Flexível 2,5 mm² Rolo</t>
        </is>
      </c>
      <c r="E175" s="8" t="inlineStr">
        <is>
          <t>Elétrica</t>
        </is>
      </c>
      <c r="F175" s="11" t="n">
        <v>1</v>
      </c>
      <c r="G175" s="8" t="inlineStr">
        <is>
          <t>UN</t>
        </is>
      </c>
      <c r="H175" s="9" t="n">
        <v>285</v>
      </c>
      <c r="I175" s="8" t="inlineStr">
        <is>
          <t>ELETRICA</t>
        </is>
      </c>
      <c r="J175" s="8" t="inlineStr">
        <is>
          <t>Consumo</t>
        </is>
      </c>
      <c r="K175" s="9">
        <f>ROUND(tbConsumo[[#This Row],[Quantidade]]*tbConsumo[[#This Row],[Custo_Unitario]],2)</f>
        <v>285</v>
      </c>
      <c r="L175" s="11" t="str">
        <f>YEAR(tbConsumo[[#This Row],[Data]])&amp;"-"&amp;TEXT(MONTH(tbConsumo[[#This Row],[Data]]),"00")</f>
        <v>2026-08</v>
      </c>
    </row>
    <row r="176">
      <c r="A176" s="8" t="inlineStr">
        <is>
          <t>MOV0175</t>
        </is>
      </c>
      <c r="B176" s="13" t="n">
        <v>46261</v>
      </c>
      <c r="C176" s="8" t="inlineStr">
        <is>
          <t>MAT008</t>
        </is>
      </c>
      <c r="D176" s="8" t="inlineStr">
        <is>
          <t>Disco de Corte 4,5 pol</t>
        </is>
      </c>
      <c r="E176" s="8" t="inlineStr">
        <is>
          <t>Corte</t>
        </is>
      </c>
      <c r="F176" s="11" t="n">
        <v>30</v>
      </c>
      <c r="G176" s="8" t="inlineStr">
        <is>
          <t>UN</t>
        </is>
      </c>
      <c r="H176" s="9" t="n">
        <v>5.9</v>
      </c>
      <c r="I176" s="8" t="inlineStr">
        <is>
          <t>FABRICACAO</t>
        </is>
      </c>
      <c r="J176" s="8" t="inlineStr">
        <is>
          <t>Consumo</t>
        </is>
      </c>
      <c r="K176" s="9">
        <f>ROUND(tbConsumo[[#This Row],[Quantidade]]*tbConsumo[[#This Row],[Custo_Unitario]],2)</f>
        <v>177</v>
      </c>
      <c r="L176" s="11" t="str">
        <f>YEAR(tbConsumo[[#This Row],[Data]])&amp;"-"&amp;TEXT(MONTH(tbConsumo[[#This Row],[Data]]),"00")</f>
        <v>2026-08</v>
      </c>
    </row>
    <row r="177">
      <c r="A177" s="8" t="inlineStr">
        <is>
          <t>MOV0176</t>
        </is>
      </c>
      <c r="B177" s="13" t="n">
        <v>46261</v>
      </c>
      <c r="C177" s="8" t="inlineStr">
        <is>
          <t>MAT017</t>
        </is>
      </c>
      <c r="D177" s="8" t="inlineStr">
        <is>
          <t>Máscara Respiratória PFF2</t>
        </is>
      </c>
      <c r="E177" s="8" t="inlineStr">
        <is>
          <t>EPI</t>
        </is>
      </c>
      <c r="F177" s="11" t="n">
        <v>3</v>
      </c>
      <c r="G177" s="8" t="inlineStr">
        <is>
          <t>CX</t>
        </is>
      </c>
      <c r="H177" s="9" t="n">
        <v>72</v>
      </c>
      <c r="I177" s="8" t="inlineStr">
        <is>
          <t>SOLDAGEM</t>
        </is>
      </c>
      <c r="J177" s="8" t="inlineStr">
        <is>
          <t>Consumo</t>
        </is>
      </c>
      <c r="K177" s="9">
        <f>ROUND(tbConsumo[[#This Row],[Quantidade]]*tbConsumo[[#This Row],[Custo_Unitario]],2)</f>
        <v>216</v>
      </c>
      <c r="L177" s="11" t="str">
        <f>YEAR(tbConsumo[[#This Row],[Data]])&amp;"-"&amp;TEXT(MONTH(tbConsumo[[#This Row],[Data]]),"00")</f>
        <v>2026-08</v>
      </c>
    </row>
    <row r="178">
      <c r="A178" s="8" t="inlineStr">
        <is>
          <t>MOV0177</t>
        </is>
      </c>
      <c r="B178" s="13" t="n">
        <v>46262</v>
      </c>
      <c r="C178" s="8" t="inlineStr">
        <is>
          <t>MAT003</t>
        </is>
      </c>
      <c r="D178" s="8" t="inlineStr">
        <is>
          <t>Lixa de Ferro Grão 80</t>
        </is>
      </c>
      <c r="E178" s="8" t="inlineStr">
        <is>
          <t>Abrasivos</t>
        </is>
      </c>
      <c r="F178" s="11" t="n">
        <v>1</v>
      </c>
      <c r="G178" s="8" t="inlineStr">
        <is>
          <t>PCT</t>
        </is>
      </c>
      <c r="H178" s="9" t="n">
        <v>38</v>
      </c>
      <c r="I178" s="8" t="inlineStr">
        <is>
          <t>MANUTENCAO</t>
        </is>
      </c>
      <c r="J178" s="8" t="inlineStr">
        <is>
          <t>Consumo</t>
        </is>
      </c>
      <c r="K178" s="9">
        <f>ROUND(tbConsumo[[#This Row],[Quantidade]]*tbConsumo[[#This Row],[Custo_Unitario]],2)</f>
        <v>38</v>
      </c>
      <c r="L178" s="11" t="str">
        <f>YEAR(tbConsumo[[#This Row],[Data]])&amp;"-"&amp;TEXT(MONTH(tbConsumo[[#This Row],[Data]]),"00")</f>
        <v>2026-08</v>
      </c>
    </row>
    <row r="179">
      <c r="A179" s="8" t="inlineStr">
        <is>
          <t>MOV0178</t>
        </is>
      </c>
      <c r="B179" s="13" t="n">
        <v>46262</v>
      </c>
      <c r="C179" s="8" t="inlineStr">
        <is>
          <t>MAT008</t>
        </is>
      </c>
      <c r="D179" s="8" t="inlineStr">
        <is>
          <t>Disco de Corte 4,5 pol</t>
        </is>
      </c>
      <c r="E179" s="8" t="inlineStr">
        <is>
          <t>Corte</t>
        </is>
      </c>
      <c r="F179" s="11" t="n">
        <v>57</v>
      </c>
      <c r="G179" s="8" t="inlineStr">
        <is>
          <t>UN</t>
        </is>
      </c>
      <c r="H179" s="9" t="n">
        <v>5.9</v>
      </c>
      <c r="I179" s="8" t="inlineStr">
        <is>
          <t>SOLDAGEM</t>
        </is>
      </c>
      <c r="J179" s="8" t="inlineStr">
        <is>
          <t>Consumo</t>
        </is>
      </c>
      <c r="K179" s="9">
        <f>ROUND(tbConsumo[[#This Row],[Quantidade]]*tbConsumo[[#This Row],[Custo_Unitario]],2)</f>
        <v>336.3</v>
      </c>
      <c r="L179" s="11" t="str">
        <f>YEAR(tbConsumo[[#This Row],[Data]])&amp;"-"&amp;TEXT(MONTH(tbConsumo[[#This Row],[Data]]),"00")</f>
        <v>2026-08</v>
      </c>
    </row>
    <row r="180">
      <c r="A180" s="8" t="inlineStr">
        <is>
          <t>MOV0179</t>
        </is>
      </c>
      <c r="B180" s="13" t="n">
        <v>46265</v>
      </c>
      <c r="C180" s="8" t="inlineStr">
        <is>
          <t>MAT008</t>
        </is>
      </c>
      <c r="D180" s="8" t="inlineStr">
        <is>
          <t>Disco de Corte 4,5 pol</t>
        </is>
      </c>
      <c r="E180" s="8" t="inlineStr">
        <is>
          <t>Corte</t>
        </is>
      </c>
      <c r="F180" s="11" t="n">
        <v>17</v>
      </c>
      <c r="G180" s="8" t="inlineStr">
        <is>
          <t>UN</t>
        </is>
      </c>
      <c r="H180" s="9" t="n">
        <v>5.9</v>
      </c>
      <c r="I180" s="8" t="inlineStr">
        <is>
          <t>MECANICA</t>
        </is>
      </c>
      <c r="J180" s="8" t="inlineStr">
        <is>
          <t>Consumo</t>
        </is>
      </c>
      <c r="K180" s="9">
        <f>ROUND(tbConsumo[[#This Row],[Quantidade]]*tbConsumo[[#This Row],[Custo_Unitario]],2)</f>
        <v>100.3</v>
      </c>
      <c r="L180" s="11" t="str">
        <f>YEAR(tbConsumo[[#This Row],[Data]])&amp;"-"&amp;TEXT(MONTH(tbConsumo[[#This Row],[Data]]),"00")</f>
        <v>2026-08</v>
      </c>
    </row>
    <row r="181">
      <c r="A181" s="8" t="inlineStr">
        <is>
          <t>MOV0180</t>
        </is>
      </c>
      <c r="B181" s="13" t="n">
        <v>46265</v>
      </c>
      <c r="C181" s="8" t="inlineStr">
        <is>
          <t>MAT007</t>
        </is>
      </c>
      <c r="D181" s="8" t="inlineStr">
        <is>
          <t>Disco de Corte 7 pol</t>
        </is>
      </c>
      <c r="E181" s="8" t="inlineStr">
        <is>
          <t>Corte</t>
        </is>
      </c>
      <c r="F181" s="11" t="n">
        <v>12</v>
      </c>
      <c r="G181" s="8" t="inlineStr">
        <is>
          <t>UN</t>
        </is>
      </c>
      <c r="H181" s="9" t="n">
        <v>12.5</v>
      </c>
      <c r="I181" s="8" t="inlineStr">
        <is>
          <t>MECANICA</t>
        </is>
      </c>
      <c r="J181" s="8" t="inlineStr">
        <is>
          <t>Consumo</t>
        </is>
      </c>
      <c r="K181" s="9">
        <f>ROUND(tbConsumo[[#This Row],[Quantidade]]*tbConsumo[[#This Row],[Custo_Unitario]],2)</f>
        <v>150</v>
      </c>
      <c r="L181" s="11" t="str">
        <f>YEAR(tbConsumo[[#This Row],[Data]])&amp;"-"&amp;TEXT(MONTH(tbConsumo[[#This Row],[Data]]),"00")</f>
        <v>2026-08</v>
      </c>
    </row>
  </sheetData>
  <dataValidations count="8">
    <dataValidation sqref="B2:B181" showDropDown="0" showInputMessage="0" showErrorMessage="1" allowBlank="0" errorTitle="Valor inválido" error="Data fora do período ou inválida." type="date" operator="between">
      <formula1>pInicioPeriodo</formula1>
      <formula2>pFimPeriodo</formula2>
    </dataValidation>
    <dataValidation sqref="E2:E181" showDropDown="0" showInputMessage="0" showErrorMessage="1" allowBlank="0" errorTitle="Valor inválido" error="Use um valor da lista Categorias (aba Parametros)." type="list">
      <formula1>=lstCategorias</formula1>
    </dataValidation>
    <dataValidation sqref="G2:G181" showDropDown="0" showInputMessage="0" showErrorMessage="1" allowBlank="0" errorTitle="Valor inválido" error="Use um valor da lista Unidades (aba Parametros)." type="list">
      <formula1>=lstUnidades</formula1>
    </dataValidation>
    <dataValidation sqref="I2:I181" showDropDown="0" showInputMessage="0" showErrorMessage="1" allowBlank="0" errorTitle="Valor inválido" error="Use um valor da lista Centros de trabalho (aba Parametros)." type="list">
      <formula1>=lstCentros</formula1>
    </dataValidation>
    <dataValidation sqref="J2:J181" showDropDown="0" showInputMessage="0" showErrorMessage="1" allowBlank="0" errorTitle="Valor inválido" error="Use um valor da lista Tipos de movimentação (aba Parametros)." type="list">
      <formula1>=lstTipoMov</formula1>
    </dataValidation>
    <dataValidation sqref="F2:F181" showDropDown="0" showInputMessage="0" showErrorMessage="1" allowBlank="0" errorTitle="Valor inválido" error="Quantidade deve ser inteiro &gt; 0." type="whole" operator="greaterThan">
      <formula1>0</formula1>
    </dataValidation>
    <dataValidation sqref="H2:H181" showDropDown="0" showInputMessage="0" showErrorMessage="1" allowBlank="0" errorTitle="Valor inválido" error="Custo_Unitario deve ser maior que zero." type="decimal" operator="greaterThan">
      <formula1>0</formula1>
    </dataValidation>
    <dataValidation sqref="C2:C181" showDropDown="0" showInputMessage="0" showErrorMessage="1" allowBlank="0" errorTitle="Material inexistente" error="Material_ID precisa existir na aba Materiais." type="list">
      <formula1>=Materiais!$A$2:$A$21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1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" customWidth="1" min="1" max="1"/>
    <col width="78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Qualidade dos dados – verificações ao vivo (fórmulas)</t>
        </is>
      </c>
    </row>
    <row r="2">
      <c r="A2" s="14" t="inlineStr">
        <is>
          <t>Dados 100% sintéticos utilizados exclusivamente para estudo e portfólio.</t>
        </is>
      </c>
    </row>
    <row r="3">
      <c r="A3" s="14" t="inlineStr">
        <is>
          <t>Cada linha é uma fórmula sobre tbMateriais, tbEstoque e tbConsumo. Erros = 0 =&gt; PASS. O mesmo conjunto (Q01–Q36) é executado de forma independente em Python (scripts/validar_dados.py).</t>
        </is>
      </c>
    </row>
    <row r="5">
      <c r="A5" s="15" t="inlineStr">
        <is>
          <t>Testes executados</t>
        </is>
      </c>
      <c r="B5" s="16">
        <f>COUNTA(A10:A45)</f>
        <v>36</v>
      </c>
    </row>
    <row r="6">
      <c r="A6" s="15" t="inlineStr">
        <is>
          <t>PASS</t>
        </is>
      </c>
      <c r="B6" s="16">
        <f>COUNTIF(E10:E45,"PASS")</f>
        <v>36</v>
      </c>
    </row>
    <row r="7">
      <c r="A7" s="15" t="inlineStr">
        <is>
          <t>FAIL</t>
        </is>
      </c>
      <c r="B7" s="16">
        <f>COUNTIF(E10:E45,"FAIL")</f>
        <v>0</v>
      </c>
    </row>
    <row r="9">
      <c r="A9" s="7" t="inlineStr">
        <is>
          <t>Teste</t>
        </is>
      </c>
      <c r="B9" s="7" t="inlineStr">
        <is>
          <t>Regra</t>
        </is>
      </c>
      <c r="C9" s="7" t="inlineStr">
        <is>
          <t>Resultado</t>
        </is>
      </c>
      <c r="D9" s="7" t="inlineStr">
        <is>
          <t>Quantidade de erros</t>
        </is>
      </c>
      <c r="E9" s="7" t="inlineStr">
        <is>
          <t>Status</t>
        </is>
      </c>
    </row>
    <row r="10">
      <c r="A10" s="8" t="inlineStr">
        <is>
          <t>Q01 · IDs duplicados – Materiais</t>
        </is>
      </c>
      <c r="B10" s="8" t="inlineStr">
        <is>
          <t>Material_ID não se repete (conta linhas envolvidas em duplicidade)</t>
        </is>
      </c>
      <c r="C10" s="8" t="str">
        <f>IF(D10=0,"Nenhum erro encontrado","Erros encontrados")</f>
        <v>Nenhum erro encontrado</v>
      </c>
      <c r="D10" s="11">
        <f>SUMPRODUCT(--(COUNTIF(tbMateriais[Material_ID],tbMateriais[Material_ID])&gt;1))</f>
        <v>0</v>
      </c>
      <c r="E10" s="11" t="str">
        <f>IF(D10=0,"PASS","FAIL")</f>
        <v>PASS</v>
      </c>
    </row>
    <row r="11">
      <c r="A11" s="8" t="inlineStr">
        <is>
          <t>Q02 · IDs duplicados – Estoque</t>
        </is>
      </c>
      <c r="B11" s="8" t="inlineStr">
        <is>
          <t>Material_ID não se repete na posição de estoque</t>
        </is>
      </c>
      <c r="C11" s="8" t="str">
        <f>IF(D11=0,"Nenhum erro encontrado","Erros encontrados")</f>
        <v>Nenhum erro encontrado</v>
      </c>
      <c r="D11" s="11">
        <f>SUMPRODUCT(--(COUNTIF(tbEstoque[Material_ID],tbEstoque[Material_ID])&gt;1))</f>
        <v>0</v>
      </c>
      <c r="E11" s="11" t="str">
        <f>IF(D11=0,"PASS","FAIL")</f>
        <v>PASS</v>
      </c>
    </row>
    <row r="12">
      <c r="A12" s="8" t="inlineStr">
        <is>
          <t>Q03 · IDs duplicados – Consumo</t>
        </is>
      </c>
      <c r="B12" s="8" t="inlineStr">
        <is>
          <t>Movimento_ID não se repete</t>
        </is>
      </c>
      <c r="C12" s="8" t="str">
        <f>IF(D12=0,"Nenhum erro encontrado","Erros encontrados")</f>
        <v>Nenhum erro encontrado</v>
      </c>
      <c r="D12" s="11">
        <f>SUMPRODUCT(--(COUNTIF(tbConsumo[Movimento_ID],tbConsumo[Movimento_ID])&gt;1))</f>
        <v>0</v>
      </c>
      <c r="E12" s="11" t="str">
        <f>IF(D12=0,"PASS","FAIL")</f>
        <v>PASS</v>
      </c>
    </row>
    <row r="13">
      <c r="A13" s="8" t="inlineStr">
        <is>
          <t>Q04 · Nulos indevidos – Materiais</t>
        </is>
      </c>
      <c r="B13" s="8" t="inlineStr">
        <is>
          <t>Nenhuma célula vazia na tabela</t>
        </is>
      </c>
      <c r="C13" s="8" t="str">
        <f>IF(D13=0,"Nenhum erro encontrado","Erros encontrados")</f>
        <v>Nenhum erro encontrado</v>
      </c>
      <c r="D13" s="11">
        <f>COUNTBLANK(tbMateriais)</f>
        <v>0</v>
      </c>
      <c r="E13" s="11" t="str">
        <f>IF(D13=0,"PASS","FAIL")</f>
        <v>PASS</v>
      </c>
    </row>
    <row r="14">
      <c r="A14" s="8" t="inlineStr">
        <is>
          <t>Q05 · Nulos indevidos – Estoque</t>
        </is>
      </c>
      <c r="B14" s="8" t="inlineStr">
        <is>
          <t>Nenhuma célula vazia na tabela</t>
        </is>
      </c>
      <c r="C14" s="8" t="str">
        <f>IF(D14=0,"Nenhum erro encontrado","Erros encontrados")</f>
        <v>Nenhum erro encontrado</v>
      </c>
      <c r="D14" s="11">
        <f>COUNTBLANK(tbEstoque)</f>
        <v>0</v>
      </c>
      <c r="E14" s="11" t="str">
        <f>IF(D14=0,"PASS","FAIL")</f>
        <v>PASS</v>
      </c>
    </row>
    <row r="15">
      <c r="A15" s="8" t="inlineStr">
        <is>
          <t>Q06 · Nulos indevidos – Consumo</t>
        </is>
      </c>
      <c r="B15" s="8" t="inlineStr">
        <is>
          <t>Nenhuma célula vazia na tabela</t>
        </is>
      </c>
      <c r="C15" s="8" t="str">
        <f>IF(D15=0,"Nenhum erro encontrado","Erros encontrados")</f>
        <v>Nenhum erro encontrado</v>
      </c>
      <c r="D15" s="11">
        <f>COUNTBLANK(tbConsumo)</f>
        <v>0</v>
      </c>
      <c r="E15" s="11" t="str">
        <f>IF(D15=0,"PASS","FAIL")</f>
        <v>PASS</v>
      </c>
    </row>
    <row r="16">
      <c r="A16" s="8" t="inlineStr">
        <is>
          <t>Q07 · Quantidade inválida – Consumo</t>
        </is>
      </c>
      <c r="B16" s="8" t="inlineStr">
        <is>
          <t>Quantidade numérica, inteira e &gt; 0</t>
        </is>
      </c>
      <c r="C16" s="8" t="str">
        <f>IF(D16=0,"Nenhum erro encontrado","Erros encontrados")</f>
        <v>Nenhum erro encontrado</v>
      </c>
      <c r="D16" s="11">
        <f>IF(ROWS(tbConsumo[Quantidade])-COUNT(tbConsumo[Quantidade])&gt;0,ROWS(tbConsumo[Quantidade])-COUNT(tbConsumo[Quantidade]),COUNTIF(tbConsumo[Quantidade],"&lt;=0")+SUMPRODUCT(--(tbConsumo[Quantidade]&lt;&gt;INT(tbConsumo[Quantidade]))))</f>
        <v>0</v>
      </c>
      <c r="E16" s="11" t="str">
        <f>IF(D16=0,"PASS","FAIL")</f>
        <v>PASS</v>
      </c>
    </row>
    <row r="17">
      <c r="A17" s="8" t="inlineStr">
        <is>
          <t>Q08 · Custo &lt;= 0 – Materiais</t>
        </is>
      </c>
      <c r="B17" s="8" t="inlineStr">
        <is>
          <t>Custo_Unitario numérico e &gt; 0</t>
        </is>
      </c>
      <c r="C17" s="8" t="str">
        <f>IF(D17=0,"Nenhum erro encontrado","Erros encontrados")</f>
        <v>Nenhum erro encontrado</v>
      </c>
      <c r="D17" s="11">
        <f>IF(ROWS(tbMateriais[Custo_Unitario])-COUNT(tbMateriais[Custo_Unitario])&gt;0,ROWS(tbMateriais[Custo_Unitario])-COUNT(tbMateriais[Custo_Unitario]),COUNTIF(tbMateriais[Custo_Unitario],"&lt;=0"))</f>
        <v>0</v>
      </c>
      <c r="E17" s="11" t="str">
        <f>IF(D17=0,"PASS","FAIL")</f>
        <v>PASS</v>
      </c>
    </row>
    <row r="18">
      <c r="A18" s="8" t="inlineStr">
        <is>
          <t>Q09 · Custo &lt;= 0 – Estoque</t>
        </is>
      </c>
      <c r="B18" s="8" t="inlineStr">
        <is>
          <t>Custo_Unitario numérico e &gt; 0</t>
        </is>
      </c>
      <c r="C18" s="8" t="str">
        <f>IF(D18=0,"Nenhum erro encontrado","Erros encontrados")</f>
        <v>Nenhum erro encontrado</v>
      </c>
      <c r="D18" s="11">
        <f>IF(ROWS(tbEstoque[Custo_Unitario])-COUNT(tbEstoque[Custo_Unitario])&gt;0,ROWS(tbEstoque[Custo_Unitario])-COUNT(tbEstoque[Custo_Unitario]),COUNTIF(tbEstoque[Custo_Unitario],"&lt;=0"))</f>
        <v>0</v>
      </c>
      <c r="E18" s="11" t="str">
        <f>IF(D18=0,"PASS","FAIL")</f>
        <v>PASS</v>
      </c>
    </row>
    <row r="19">
      <c r="A19" s="8" t="inlineStr">
        <is>
          <t>Q10 · Custo &lt;= 0 – Consumo</t>
        </is>
      </c>
      <c r="B19" s="8" t="inlineStr">
        <is>
          <t>Custo_Unitario numérico e &gt; 0</t>
        </is>
      </c>
      <c r="C19" s="8" t="str">
        <f>IF(D19=0,"Nenhum erro encontrado","Erros encontrados")</f>
        <v>Nenhum erro encontrado</v>
      </c>
      <c r="D19" s="11">
        <f>IF(ROWS(tbConsumo[Custo_Unitario])-COUNT(tbConsumo[Custo_Unitario])&gt;0,ROWS(tbConsumo[Custo_Unitario])-COUNT(tbConsumo[Custo_Unitario]),COUNTIF(tbConsumo[Custo_Unitario],"&lt;=0"))</f>
        <v>0</v>
      </c>
      <c r="E19" s="11" t="str">
        <f>IF(D19=0,"PASS","FAIL")</f>
        <v>PASS</v>
      </c>
    </row>
    <row r="20">
      <c r="A20" s="8" t="inlineStr">
        <is>
          <t>Q11 · Material inexistente – Estoque</t>
        </is>
      </c>
      <c r="B20" s="8" t="inlineStr">
        <is>
          <t>Material_ID do estoque existe no catálogo</t>
        </is>
      </c>
      <c r="C20" s="8" t="str">
        <f>IF(D20=0,"Nenhum erro encontrado","Erros encontrados")</f>
        <v>Nenhum erro encontrado</v>
      </c>
      <c r="D20" s="11">
        <f>SUMPRODUCT(--(COUNTIF(tbMateriais[Material_ID],tbEstoque[Material_ID])=0))</f>
        <v>0</v>
      </c>
      <c r="E20" s="11" t="str">
        <f>IF(D20=0,"PASS","FAIL")</f>
        <v>PASS</v>
      </c>
    </row>
    <row r="21">
      <c r="A21" s="8" t="inlineStr">
        <is>
          <t>Q12 · Material inexistente – Consumo</t>
        </is>
      </c>
      <c r="B21" s="8" t="inlineStr">
        <is>
          <t>Material_ID do consumo existe no catálogo</t>
        </is>
      </c>
      <c r="C21" s="8" t="str">
        <f>IF(D21=0,"Nenhum erro encontrado","Erros encontrados")</f>
        <v>Nenhum erro encontrado</v>
      </c>
      <c r="D21" s="11">
        <f>SUMPRODUCT(--(COUNTIF(tbMateriais[Material_ID],tbConsumo[Material_ID])=0))</f>
        <v>0</v>
      </c>
      <c r="E21" s="11" t="str">
        <f>IF(D21=0,"PASS","FAIL")</f>
        <v>PASS</v>
      </c>
    </row>
    <row r="22">
      <c r="A22" s="8" t="inlineStr">
        <is>
          <t>Q13 · Catálogo sem estoque</t>
        </is>
      </c>
      <c r="B22" s="8" t="inlineStr">
        <is>
          <t>Todo material do catálogo tem posição de estoque</t>
        </is>
      </c>
      <c r="C22" s="8" t="str">
        <f>IF(D22=0,"Nenhum erro encontrado","Erros encontrados")</f>
        <v>Nenhum erro encontrado</v>
      </c>
      <c r="D22" s="11">
        <f>SUMPRODUCT(--(COUNTIF(tbEstoque[Material_ID],tbMateriais[Material_ID])=0))</f>
        <v>0</v>
      </c>
      <c r="E22" s="11" t="str">
        <f>IF(D22=0,"PASS","FAIL")</f>
        <v>PASS</v>
      </c>
    </row>
    <row r="23">
      <c r="A23" s="8" t="inlineStr">
        <is>
          <t>Q14 · Nome divergente – Estoque</t>
        </is>
      </c>
      <c r="B23" s="8" t="inlineStr">
        <is>
          <t>Material do estoque = catálogo</t>
        </is>
      </c>
      <c r="C23" s="8" t="str">
        <f>IF(D23=0,"Nenhum erro encontrado","Erros encontrados")</f>
        <v>Nenhum erro encontrado</v>
      </c>
      <c r="D23" s="11">
        <f>SUMPRODUCT((COUNTIF(tbMateriais[Material_ID],tbEstoque[Material_ID])&gt;0)*(COUNTIFS(tbMateriais[Material_ID],tbEstoque[Material_ID],tbMateriais[Material],tbEstoque[Material])=0))</f>
        <v>0</v>
      </c>
      <c r="E23" s="11" t="str">
        <f>IF(D23=0,"PASS","FAIL")</f>
        <v>PASS</v>
      </c>
    </row>
    <row r="24">
      <c r="A24" s="8" t="inlineStr">
        <is>
          <t>Q15 · Nome divergente – Consumo</t>
        </is>
      </c>
      <c r="B24" s="8" t="inlineStr">
        <is>
          <t>Material do consumo = catálogo</t>
        </is>
      </c>
      <c r="C24" s="8" t="str">
        <f>IF(D24=0,"Nenhum erro encontrado","Erros encontrados")</f>
        <v>Nenhum erro encontrado</v>
      </c>
      <c r="D24" s="11">
        <f>SUMPRODUCT((COUNTIF(tbMateriais[Material_ID],tbConsumo[Material_ID])&gt;0)*(COUNTIFS(tbMateriais[Material_ID],tbConsumo[Material_ID],tbMateriais[Material],tbConsumo[Material])=0))</f>
        <v>0</v>
      </c>
      <c r="E24" s="11" t="str">
        <f>IF(D24=0,"PASS","FAIL")</f>
        <v>PASS</v>
      </c>
    </row>
    <row r="25">
      <c r="A25" s="8" t="inlineStr">
        <is>
          <t>Q16 · Categoria divergente – Estoque</t>
        </is>
      </c>
      <c r="B25" s="8" t="inlineStr">
        <is>
          <t>Categoria do estoque = catálogo</t>
        </is>
      </c>
      <c r="C25" s="8" t="str">
        <f>IF(D25=0,"Nenhum erro encontrado","Erros encontrados")</f>
        <v>Nenhum erro encontrado</v>
      </c>
      <c r="D25" s="11">
        <f>SUMPRODUCT((COUNTIF(tbMateriais[Material_ID],tbEstoque[Material_ID])&gt;0)*(COUNTIFS(tbMateriais[Material_ID],tbEstoque[Material_ID],tbMateriais[Categoria],tbEstoque[Categoria])=0))</f>
        <v>0</v>
      </c>
      <c r="E25" s="11" t="str">
        <f>IF(D25=0,"PASS","FAIL")</f>
        <v>PASS</v>
      </c>
    </row>
    <row r="26">
      <c r="A26" s="8" t="inlineStr">
        <is>
          <t>Q17 · Categoria divergente – Consumo</t>
        </is>
      </c>
      <c r="B26" s="8" t="inlineStr">
        <is>
          <t>Categoria do consumo = catálogo</t>
        </is>
      </c>
      <c r="C26" s="8" t="str">
        <f>IF(D26=0,"Nenhum erro encontrado","Erros encontrados")</f>
        <v>Nenhum erro encontrado</v>
      </c>
      <c r="D26" s="11">
        <f>SUMPRODUCT((COUNTIF(tbMateriais[Material_ID],tbConsumo[Material_ID])&gt;0)*(COUNTIFS(tbMateriais[Material_ID],tbConsumo[Material_ID],tbMateriais[Categoria],tbConsumo[Categoria])=0))</f>
        <v>0</v>
      </c>
      <c r="E26" s="11" t="str">
        <f>IF(D26=0,"PASS","FAIL")</f>
        <v>PASS</v>
      </c>
    </row>
    <row r="27">
      <c r="A27" s="8" t="inlineStr">
        <is>
          <t>Q18 · Unidade divergente – Estoque</t>
        </is>
      </c>
      <c r="B27" s="8" t="inlineStr">
        <is>
          <t>Unidade do estoque = catálogo</t>
        </is>
      </c>
      <c r="C27" s="8" t="str">
        <f>IF(D27=0,"Nenhum erro encontrado","Erros encontrados")</f>
        <v>Nenhum erro encontrado</v>
      </c>
      <c r="D27" s="11">
        <f>SUMPRODUCT((COUNTIF(tbMateriais[Material_ID],tbEstoque[Material_ID])&gt;0)*(COUNTIFS(tbMateriais[Material_ID],tbEstoque[Material_ID],tbMateriais[Unidade],tbEstoque[Unidade])=0))</f>
        <v>0</v>
      </c>
      <c r="E27" s="11" t="str">
        <f>IF(D27=0,"PASS","FAIL")</f>
        <v>PASS</v>
      </c>
    </row>
    <row r="28">
      <c r="A28" s="8" t="inlineStr">
        <is>
          <t>Q19 · Unidade divergente – Consumo</t>
        </is>
      </c>
      <c r="B28" s="8" t="inlineStr">
        <is>
          <t>Unidade do consumo = catálogo</t>
        </is>
      </c>
      <c r="C28" s="8" t="str">
        <f>IF(D28=0,"Nenhum erro encontrado","Erros encontrados")</f>
        <v>Nenhum erro encontrado</v>
      </c>
      <c r="D28" s="11">
        <f>SUMPRODUCT((COUNTIF(tbMateriais[Material_ID],tbConsumo[Material_ID])&gt;0)*(COUNTIFS(tbMateriais[Material_ID],tbConsumo[Material_ID],tbMateriais[Unidade],tbConsumo[Unidade])=0))</f>
        <v>0</v>
      </c>
      <c r="E28" s="11" t="str">
        <f>IF(D28=0,"PASS","FAIL")</f>
        <v>PASS</v>
      </c>
    </row>
    <row r="29">
      <c r="A29" s="8" t="inlineStr">
        <is>
          <t>Q20 · Custo divergente – Estoque</t>
        </is>
      </c>
      <c r="B29" s="8" t="inlineStr">
        <is>
          <t>Custo_Unitario do estoque = catálogo</t>
        </is>
      </c>
      <c r="C29" s="8" t="str">
        <f>IF(D29=0,"Nenhum erro encontrado","Erros encontrados")</f>
        <v>Nenhum erro encontrado</v>
      </c>
      <c r="D29" s="11">
        <f>SUMPRODUCT((COUNTIF(tbMateriais[Material_ID],tbEstoque[Material_ID])&gt;0)*(COUNTIFS(tbMateriais[Material_ID],tbEstoque[Material_ID],tbMateriais[Custo_Unitario],tbEstoque[Custo_Unitario])=0))</f>
        <v>0</v>
      </c>
      <c r="E29" s="11" t="str">
        <f>IF(D29=0,"PASS","FAIL")</f>
        <v>PASS</v>
      </c>
    </row>
    <row r="30">
      <c r="A30" s="8" t="inlineStr">
        <is>
          <t>Q21 · Custo divergente – Consumo</t>
        </is>
      </c>
      <c r="B30" s="8" t="inlineStr">
        <is>
          <t>Custo_Unitario do consumo = catálogo</t>
        </is>
      </c>
      <c r="C30" s="8" t="str">
        <f>IF(D30=0,"Nenhum erro encontrado","Erros encontrados")</f>
        <v>Nenhum erro encontrado</v>
      </c>
      <c r="D30" s="11">
        <f>SUMPRODUCT((COUNTIF(tbMateriais[Material_ID],tbConsumo[Material_ID])&gt;0)*(COUNTIFS(tbMateriais[Material_ID],tbConsumo[Material_ID],tbMateriais[Custo_Unitario],tbConsumo[Custo_Unitario])=0))</f>
        <v>0</v>
      </c>
      <c r="E30" s="11" t="str">
        <f>IF(D30=0,"PASS","FAIL")</f>
        <v>PASS</v>
      </c>
    </row>
    <row r="31">
      <c r="A31" s="8" t="inlineStr">
        <is>
          <t>Q22 · Criticidade divergente – Estoque</t>
        </is>
      </c>
      <c r="B31" s="8" t="inlineStr">
        <is>
          <t>Criticidade do estoque = catálogo</t>
        </is>
      </c>
      <c r="C31" s="8" t="str">
        <f>IF(D31=0,"Nenhum erro encontrado","Erros encontrados")</f>
        <v>Nenhum erro encontrado</v>
      </c>
      <c r="D31" s="11">
        <f>SUMPRODUCT((COUNTIF(tbMateriais[Material_ID],tbEstoque[Material_ID])&gt;0)*(COUNTIFS(tbMateriais[Material_ID],tbEstoque[Material_ID],tbMateriais[Criticidade],tbEstoque[Criticidade])=0))</f>
        <v>0</v>
      </c>
      <c r="E31" s="11" t="str">
        <f>IF(D31=0,"PASS","FAIL")</f>
        <v>PASS</v>
      </c>
    </row>
    <row r="32">
      <c r="A32" s="8" t="inlineStr">
        <is>
          <t>Q23 · Fornecedor divergente – Estoque</t>
        </is>
      </c>
      <c r="B32" s="8" t="inlineStr">
        <is>
          <t>Fornecedor do estoque = catálogo</t>
        </is>
      </c>
      <c r="C32" s="8" t="str">
        <f>IF(D32=0,"Nenhum erro encontrado","Erros encontrados")</f>
        <v>Nenhum erro encontrado</v>
      </c>
      <c r="D32" s="11">
        <f>SUMPRODUCT((COUNTIF(tbMateriais[Material_ID],tbEstoque[Material_ID])&gt;0)*(COUNTIFS(tbMateriais[Material_ID],tbEstoque[Material_ID],tbMateriais[Fornecedor],tbEstoque[Fornecedor])=0))</f>
        <v>0</v>
      </c>
      <c r="E32" s="11" t="str">
        <f>IF(D32=0,"PASS","FAIL")</f>
        <v>PASS</v>
      </c>
    </row>
    <row r="33">
      <c r="A33" s="8" t="inlineStr">
        <is>
          <t>Q24 · Datas inválidas – Consumo</t>
        </is>
      </c>
      <c r="B33" s="8" t="inlineStr">
        <is>
          <t>Data válida e dentro do período definido na aba Parametros</t>
        </is>
      </c>
      <c r="C33" s="8" t="str">
        <f>IF(D33=0,"Nenhum erro encontrado","Erros encontrados")</f>
        <v>Nenhum erro encontrado</v>
      </c>
      <c r="D33" s="11">
        <f>SUMPRODUCT(--NOT(ISNUMBER(tbConsumo[Data])))+COUNTIF(tbConsumo[Data],"&lt;"&amp;pInicioPeriodo)+COUNTIF(tbConsumo[Data],"&gt;"&amp;pFimPeriodo)</f>
        <v>0</v>
      </c>
      <c r="E33" s="11" t="str">
        <f>IF(D33=0,"PASS","FAIL")</f>
        <v>PASS</v>
      </c>
    </row>
    <row r="34">
      <c r="A34" s="8" t="inlineStr">
        <is>
          <t>Q25 · Cobertura dos 3 meses – Consumo</t>
        </is>
      </c>
      <c r="B34" s="8" t="inlineStr">
        <is>
          <t>Cada mês do período tem &gt;= 1 movimentação (conta meses sem registro)</t>
        </is>
      </c>
      <c r="C34" s="8" t="str">
        <f>IF(D34=0,"Nenhum erro encontrado","Erros encontrados")</f>
        <v>Nenhum erro encontrado</v>
      </c>
      <c r="D34" s="11">
        <f>SUMPRODUCT(--(COUNTIF(tbConsumo[Mes],lstMeses)=0))</f>
        <v>0</v>
      </c>
      <c r="E34" s="11" t="str">
        <f>IF(D34=0,"PASS","FAIL")</f>
        <v>PASS</v>
      </c>
    </row>
    <row r="35">
      <c r="A35" s="8" t="inlineStr">
        <is>
          <t>Q26 · Estoque negativo</t>
        </is>
      </c>
      <c r="B35" s="8" t="inlineStr">
        <is>
          <t>Estoque_Atual numérico e &gt;= 0</t>
        </is>
      </c>
      <c r="C35" s="8" t="str">
        <f>IF(D35=0,"Nenhum erro encontrado","Erros encontrados")</f>
        <v>Nenhum erro encontrado</v>
      </c>
      <c r="D35" s="11">
        <f>IF(ROWS(tbEstoque[Estoque_Atual])-COUNT(tbEstoque[Estoque_Atual])&gt;0,ROWS(tbEstoque[Estoque_Atual])-COUNT(tbEstoque[Estoque_Atual]),COUNTIF(tbEstoque[Estoque_Atual],"&lt;0"))</f>
        <v>0</v>
      </c>
      <c r="E35" s="11" t="str">
        <f>IF(D35=0,"PASS","FAIL")</f>
        <v>PASS</v>
      </c>
    </row>
    <row r="36">
      <c r="A36" s="8" t="inlineStr">
        <is>
          <t>Q27 · Estoque mínimo negativo</t>
        </is>
      </c>
      <c r="B36" s="8" t="inlineStr">
        <is>
          <t>Estoque_Minimo numérico e &gt;= 0</t>
        </is>
      </c>
      <c r="C36" s="8" t="str">
        <f>IF(D36=0,"Nenhum erro encontrado","Erros encontrados")</f>
        <v>Nenhum erro encontrado</v>
      </c>
      <c r="D36" s="11">
        <f>IF(ROWS(tbEstoque[Estoque_Minimo])-COUNT(tbEstoque[Estoque_Minimo])&gt;0,ROWS(tbEstoque[Estoque_Minimo])-COUNT(tbEstoque[Estoque_Minimo]),COUNTIF(tbEstoque[Estoque_Minimo],"&lt;0"))</f>
        <v>0</v>
      </c>
      <c r="E36" s="11" t="str">
        <f>IF(D36=0,"PASS","FAIL")</f>
        <v>PASS</v>
      </c>
    </row>
    <row r="37">
      <c r="A37" s="8" t="inlineStr">
        <is>
          <t>Q28 · Lead time inválido</t>
        </is>
      </c>
      <c r="B37" s="8" t="inlineStr">
        <is>
          <t>Lead_Time_Dias numérico, inteiro e &gt; 0</t>
        </is>
      </c>
      <c r="C37" s="8" t="str">
        <f>IF(D37=0,"Nenhum erro encontrado","Erros encontrados")</f>
        <v>Nenhum erro encontrado</v>
      </c>
      <c r="D37" s="11">
        <f>IF(ROWS(tbEstoque[Lead_Time_Dias])-COUNT(tbEstoque[Lead_Time_Dias])&gt;0,ROWS(tbEstoque[Lead_Time_Dias])-COUNT(tbEstoque[Lead_Time_Dias]),COUNTIF(tbEstoque[Lead_Time_Dias],"&lt;=0")+SUMPRODUCT(--(tbEstoque[Lead_Time_Dias]&lt;&gt;INT(tbEstoque[Lead_Time_Dias]))))</f>
        <v>0</v>
      </c>
      <c r="E37" s="11" t="str">
        <f>IF(D37=0,"PASS","FAIL")</f>
        <v>PASS</v>
      </c>
    </row>
    <row r="38">
      <c r="A38" s="8" t="inlineStr">
        <is>
          <t>Q29 · Categoria inválida – Materiais</t>
        </is>
      </c>
      <c r="B38" s="8" t="inlineStr">
        <is>
          <t>Categoria pertence à lista permitida</t>
        </is>
      </c>
      <c r="C38" s="8" t="str">
        <f>IF(D38=0,"Nenhum erro encontrado","Erros encontrados")</f>
        <v>Nenhum erro encontrado</v>
      </c>
      <c r="D38" s="11">
        <f>SUMPRODUCT(--(COUNTIF(lstCategorias,tbMateriais[Categoria])=0))</f>
        <v>0</v>
      </c>
      <c r="E38" s="11" t="str">
        <f>IF(D38=0,"PASS","FAIL")</f>
        <v>PASS</v>
      </c>
    </row>
    <row r="39">
      <c r="A39" s="8" t="inlineStr">
        <is>
          <t>Q30 · Categoria inválida – Estoque</t>
        </is>
      </c>
      <c r="B39" s="8" t="inlineStr">
        <is>
          <t>Categoria pertence à lista permitida</t>
        </is>
      </c>
      <c r="C39" s="8" t="str">
        <f>IF(D39=0,"Nenhum erro encontrado","Erros encontrados")</f>
        <v>Nenhum erro encontrado</v>
      </c>
      <c r="D39" s="11">
        <f>SUMPRODUCT(--(COUNTIF(lstCategorias,tbEstoque[Categoria])=0))</f>
        <v>0</v>
      </c>
      <c r="E39" s="11" t="str">
        <f>IF(D39=0,"PASS","FAIL")</f>
        <v>PASS</v>
      </c>
    </row>
    <row r="40">
      <c r="A40" s="8" t="inlineStr">
        <is>
          <t>Q31 · Categoria inválida – Consumo</t>
        </is>
      </c>
      <c r="B40" s="8" t="inlineStr">
        <is>
          <t>Categoria pertence à lista permitida</t>
        </is>
      </c>
      <c r="C40" s="8" t="str">
        <f>IF(D40=0,"Nenhum erro encontrado","Erros encontrados")</f>
        <v>Nenhum erro encontrado</v>
      </c>
      <c r="D40" s="11">
        <f>SUMPRODUCT(--(COUNTIF(lstCategorias,tbConsumo[Categoria])=0))</f>
        <v>0</v>
      </c>
      <c r="E40" s="11" t="str">
        <f>IF(D40=0,"PASS","FAIL")</f>
        <v>PASS</v>
      </c>
    </row>
    <row r="41">
      <c r="A41" s="8" t="inlineStr">
        <is>
          <t>Q32 · Unidade inválida – Materiais</t>
        </is>
      </c>
      <c r="B41" s="8" t="inlineStr">
        <is>
          <t>Unidade em UN, CX, PCT ou PAR</t>
        </is>
      </c>
      <c r="C41" s="8" t="str">
        <f>IF(D41=0,"Nenhum erro encontrado","Erros encontrados")</f>
        <v>Nenhum erro encontrado</v>
      </c>
      <c r="D41" s="11">
        <f>SUMPRODUCT(--(COUNTIF(lstUnidades,tbMateriais[Unidade])=0))</f>
        <v>0</v>
      </c>
      <c r="E41" s="11" t="str">
        <f>IF(D41=0,"PASS","FAIL")</f>
        <v>PASS</v>
      </c>
    </row>
    <row r="42">
      <c r="A42" s="8" t="inlineStr">
        <is>
          <t>Q33 · Criticidade inválida – Materiais</t>
        </is>
      </c>
      <c r="B42" s="8" t="inlineStr">
        <is>
          <t>Criticidade em Baixa, Média ou Alta</t>
        </is>
      </c>
      <c r="C42" s="8" t="str">
        <f>IF(D42=0,"Nenhum erro encontrado","Erros encontrados")</f>
        <v>Nenhum erro encontrado</v>
      </c>
      <c r="D42" s="11">
        <f>SUMPRODUCT(--(COUNTIF(lstCriticidade,tbMateriais[Criticidade])=0))</f>
        <v>0</v>
      </c>
      <c r="E42" s="11" t="str">
        <f>IF(D42=0,"PASS","FAIL")</f>
        <v>PASS</v>
      </c>
    </row>
    <row r="43">
      <c r="A43" s="8" t="inlineStr">
        <is>
          <t>Q34 · Centro inválido – Consumo</t>
        </is>
      </c>
      <c r="B43" s="8" t="inlineStr">
        <is>
          <t>Centro_Trabalho na lista permitida</t>
        </is>
      </c>
      <c r="C43" s="8" t="str">
        <f>IF(D43=0,"Nenhum erro encontrado","Erros encontrados")</f>
        <v>Nenhum erro encontrado</v>
      </c>
      <c r="D43" s="11">
        <f>SUMPRODUCT(--(COUNTIF(lstCentros,tbConsumo[Centro_Trabalho])=0))</f>
        <v>0</v>
      </c>
      <c r="E43" s="11" t="str">
        <f>IF(D43=0,"PASS","FAIL")</f>
        <v>PASS</v>
      </c>
    </row>
    <row r="44">
      <c r="A44" s="8" t="inlineStr">
        <is>
          <t>Q35 · Tipo de movimentação inválido</t>
        </is>
      </c>
      <c r="B44" s="8" t="inlineStr">
        <is>
          <t>Tipo_Movimentacao em Consumo ou Ajuste</t>
        </is>
      </c>
      <c r="C44" s="8" t="str">
        <f>IF(D44=0,"Nenhum erro encontrado","Erros encontrados")</f>
        <v>Nenhum erro encontrado</v>
      </c>
      <c r="D44" s="11">
        <f>SUMPRODUCT(--(COUNTIF(lstTipoMov,tbConsumo[Tipo_Movimentacao])=0))</f>
        <v>0</v>
      </c>
      <c r="E44" s="11" t="str">
        <f>IF(D44=0,"PASS","FAIL")</f>
        <v>PASS</v>
      </c>
    </row>
    <row r="45">
      <c r="A45" s="8" t="inlineStr">
        <is>
          <t>Q36 · Fornecedor fora do padrão fictício</t>
        </is>
      </c>
      <c r="B45" s="8" t="inlineStr">
        <is>
          <t>Fornecedor começa com 'Fornecedor ' (nome fictício)</t>
        </is>
      </c>
      <c r="C45" s="8" t="str">
        <f>IF(D45=0,"Nenhum erro encontrado","Erros encontrados")</f>
        <v>Nenhum erro encontrado</v>
      </c>
      <c r="D45" s="11">
        <f>SUMPRODUCT(--(LEFT(tbMateriais[Fornecedor],11)&lt;&gt;"Fornecedor "))</f>
        <v>0</v>
      </c>
      <c r="E45" s="11" t="str">
        <f>IF(D45=0,"PASS","FAIL")</f>
        <v>PASS</v>
      </c>
    </row>
  </sheetData>
  <conditionalFormatting sqref="E10:E45">
    <cfRule type="cellIs" priority="1" operator="equal" dxfId="3">
      <formula>"PASS"</formula>
    </cfRule>
    <cfRule type="cellIs" priority="2" operator="equal" dxfId="4">
      <formula>"FAIL"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tabSelected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4" customWidth="1" min="4" max="4"/>
    <col width="24" customWidth="1" min="5" max="5"/>
    <col width="28" customWidth="1" min="6" max="6"/>
  </cols>
  <sheetData>
    <row r="1">
      <c r="A1" s="1" t="inlineStr">
        <is>
          <t>Parâmetros e listas de valores válidos</t>
        </is>
      </c>
    </row>
    <row r="2">
      <c r="A2" s="14" t="inlineStr">
        <is>
          <t>Dados 100% sintéticos utilizados exclusivamente para estudo e portfólio.</t>
        </is>
      </c>
    </row>
    <row r="4">
      <c r="A4" s="18" t="inlineStr">
        <is>
          <t>Parâmetro</t>
        </is>
      </c>
      <c r="B4" s="18" t="inlineStr">
        <is>
          <t>Valor</t>
        </is>
      </c>
      <c r="C4" s="18" t="inlineStr">
        <is>
          <t>Descrição</t>
        </is>
      </c>
    </row>
    <row r="5">
      <c r="A5" s="15" t="inlineStr">
        <is>
          <t>Margem_ATENCAO</t>
        </is>
      </c>
      <c r="B5" s="37" t="n">
        <v>0.25</v>
      </c>
      <c r="C5" s="14" t="inlineStr">
        <is>
          <t>ATENÇÃO quando Estoque_Atual &gt; Mínimo e &lt;= Mínimo x (1 + margem). Nome definido: pMargemAtencao. Valor de estudo (entrada do autor).</t>
        </is>
      </c>
    </row>
    <row r="6">
      <c r="A6" s="15" t="inlineStr">
        <is>
          <t>Inicio_Periodo</t>
        </is>
      </c>
      <c r="B6" s="38" t="n">
        <v>46174</v>
      </c>
      <c r="C6" s="14" t="inlineStr">
        <is>
          <t>Primeiro dia do período de consumo (3 meses consecutivos, conforme o PDF). Nome: pInicioPeriodo.</t>
        </is>
      </c>
    </row>
    <row r="7">
      <c r="A7" s="15" t="inlineStr">
        <is>
          <t>Fim_Periodo</t>
        </is>
      </c>
      <c r="B7" s="38" t="n">
        <v>46265</v>
      </c>
      <c r="C7" s="14" t="inlineStr">
        <is>
          <t>Último dia do período. Nome: pFimPeriodo.</t>
        </is>
      </c>
    </row>
    <row r="10">
      <c r="A10" s="18" t="inlineStr">
        <is>
          <t>Categorias</t>
        </is>
      </c>
      <c r="B10" s="18" t="inlineStr">
        <is>
          <t>Unidades</t>
        </is>
      </c>
      <c r="C10" s="18" t="inlineStr">
        <is>
          <t>Criticidade</t>
        </is>
      </c>
      <c r="D10" s="18" t="inlineStr">
        <is>
          <t>Centros de trabalho</t>
        </is>
      </c>
      <c r="E10" s="18" t="inlineStr">
        <is>
          <t>Tipos de movimentação</t>
        </is>
      </c>
      <c r="F10" s="18" t="inlineStr">
        <is>
          <t>Meses do período (fórmula)</t>
        </is>
      </c>
    </row>
    <row r="11">
      <c r="A11" s="8" t="inlineStr">
        <is>
          <t>Abrasivos</t>
        </is>
      </c>
      <c r="B11" s="8" t="inlineStr">
        <is>
          <t>UN</t>
        </is>
      </c>
      <c r="C11" s="8" t="inlineStr">
        <is>
          <t>Baixa</t>
        </is>
      </c>
      <c r="D11" s="8" t="inlineStr">
        <is>
          <t>MANUTENCAO</t>
        </is>
      </c>
      <c r="E11" s="8" t="inlineStr">
        <is>
          <t>Consumo</t>
        </is>
      </c>
      <c r="F11" s="8" t="str">
        <f>YEAR(EDATE(pInicioPeriodo,0))&amp;"-"&amp;TEXT(MONTH(EDATE(pInicioPeriodo,0)),"00")</f>
        <v>2026-06</v>
      </c>
    </row>
    <row r="12">
      <c r="A12" s="8" t="inlineStr">
        <is>
          <t>Soldagem</t>
        </is>
      </c>
      <c r="B12" s="8" t="inlineStr">
        <is>
          <t>CX</t>
        </is>
      </c>
      <c r="C12" s="8" t="inlineStr">
        <is>
          <t>Média</t>
        </is>
      </c>
      <c r="D12" s="8" t="inlineStr">
        <is>
          <t>SOLDAGEM</t>
        </is>
      </c>
      <c r="E12" s="8" t="inlineStr">
        <is>
          <t>Ajuste</t>
        </is>
      </c>
      <c r="F12" s="8" t="str">
        <f>YEAR(EDATE(pInicioPeriodo,1))&amp;"-"&amp;TEXT(MONTH(EDATE(pInicioPeriodo,1)),"00")</f>
        <v>2026-07</v>
      </c>
    </row>
    <row r="13">
      <c r="A13" s="8" t="inlineStr">
        <is>
          <t>Corte</t>
        </is>
      </c>
      <c r="B13" s="8" t="inlineStr">
        <is>
          <t>PCT</t>
        </is>
      </c>
      <c r="C13" s="8" t="inlineStr">
        <is>
          <t>Alta</t>
        </is>
      </c>
      <c r="D13" s="8" t="inlineStr">
        <is>
          <t>FABRICACAO</t>
        </is>
      </c>
      <c r="F13" s="8" t="str">
        <f>YEAR(EDATE(pInicioPeriodo,2))&amp;"-"&amp;TEXT(MONTH(EDATE(pInicioPeriodo,2)),"00")</f>
        <v>2026-08</v>
      </c>
    </row>
    <row r="14">
      <c r="A14" s="8" t="inlineStr">
        <is>
          <t>Elétrica</t>
        </is>
      </c>
      <c r="B14" s="8" t="inlineStr">
        <is>
          <t>PAR</t>
        </is>
      </c>
      <c r="D14" s="8" t="inlineStr">
        <is>
          <t>MECANICA</t>
        </is>
      </c>
    </row>
    <row r="15">
      <c r="A15" s="8" t="inlineStr">
        <is>
          <t>EPI</t>
        </is>
      </c>
      <c r="D15" s="8" t="inlineStr">
        <is>
          <t>ELETRICA</t>
        </is>
      </c>
    </row>
    <row r="16">
      <c r="A16" s="8" t="inlineStr">
        <is>
          <t>Ferramentas</t>
        </is>
      </c>
    </row>
    <row r="18">
      <c r="A18" s="14" t="inlineStr">
        <is>
          <t>Os valores acima são as listas oficiais usadas pela validação de dados e pelas verificações da aba Qualidade. Alterar uma lista muda o que é considerado válido.</t>
        </is>
      </c>
    </row>
    <row r="20">
      <c r="A20" s="17" t="inlineStr">
        <is>
          <t>Parâmetros adicionados na V0.2 (entradas do autor)</t>
        </is>
      </c>
    </row>
    <row r="21">
      <c r="A21" s="100" t="inlineStr">
        <is>
          <t>Parâmetro</t>
        </is>
      </c>
      <c r="B21" s="100" t="inlineStr">
        <is>
          <t>Valor</t>
        </is>
      </c>
      <c r="C21" s="100" t="inlineStr">
        <is>
          <t>Descrição</t>
        </is>
      </c>
    </row>
    <row r="22">
      <c r="A22" s="124" t="inlineStr">
        <is>
          <t>Limite_Pareto</t>
        </is>
      </c>
      <c r="B22" s="126" t="n">
        <v>0.8</v>
      </c>
      <c r="C22" s="14" t="inlineStr">
        <is>
          <t>Limite do % acumulado do Pareto (linha tracejada e 'Núcleo'). Convenção 80/20 do estudo; editável (0 a 1). Nome definido: pLimitePareto.</t>
        </is>
      </c>
    </row>
    <row r="23">
      <c r="A23" s="124" t="inlineStr">
        <is>
          <t>Top_N_A</t>
        </is>
      </c>
      <c r="B23" s="127" t="n">
        <v>3</v>
      </c>
      <c r="C23" s="14" t="inlineStr">
        <is>
          <t>Nº de maiores materiais somados no cartão de concentração A (1 a 20). Nome definido: pTopA.</t>
        </is>
      </c>
    </row>
    <row r="24">
      <c r="A24" s="124" t="inlineStr">
        <is>
          <t>Top_N_B</t>
        </is>
      </c>
      <c r="B24" s="127" t="n">
        <v>5</v>
      </c>
      <c r="C24" s="14" t="inlineStr">
        <is>
          <t>Nº de maiores materiais somados no cartão de concentração B (1 a 20). Nome definido: pTopB.</t>
        </is>
      </c>
    </row>
  </sheetData>
  <dataValidations count="2">
    <dataValidation sqref="B22" showDropDown="0" showInputMessage="0" showErrorMessage="1" allowBlank="0" errorTitle="Valor inválido" error="Informe um valor entre 0 e 1 (ex.: 0,8 = 80%)." type="decimal" operator="between">
      <formula1>0</formula1>
      <formula2>1</formula2>
    </dataValidation>
    <dataValidation sqref="B23:B24" showDropDown="0" showInputMessage="0" showErrorMessage="1" allowBlank="0" errorTitle="Valor inválido" error="Informe um inteiro entre 1 e 20." type="whole" operator="between">
      <formula1>1</formula1>
      <formula2>20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Lobo Insights Industrial (dados sintéticos)</dc:creator>
  <dc:title xmlns:dc="http://purl.org/dc/elements/1.1/">Lobo Insights Industrial V0.2 - Analytics &amp; Dashboard</dc:title>
  <dcterms:created xmlns:dcterms="http://purl.org/dc/terms/" xmlns:xsi="http://www.w3.org/2001/XMLSchema-instance" xsi:type="dcterms:W3CDTF">2026-09-21T05:58:11Z</dcterms:created>
  <dcterms:modified xmlns:dcterms="http://purl.org/dc/terms/" xmlns:xsi="http://www.w3.org/2001/XMLSchema-instance" xsi:type="dcterms:W3CDTF">2026-09-21T05:58:11Z</dcterms:modified>
</cp:coreProperties>
</file>